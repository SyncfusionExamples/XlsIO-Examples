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Support Tickets\Pivot Enable Drill\Pivot Enable Drill\Data\"/>
    </mc:Choice>
  </mc:AlternateContent>
  <xr:revisionPtr revIDLastSave="0" documentId="13_ncr:1_{0850FE63-6DC8-4867-9915-F5440E36E0E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Pivot Table" sheetId="4" r:id="rId2"/>
  </sheets>
  <definedNames>
    <definedName name="_xlnm._FilterDatabase" localSheetId="0" hidden="1">Data!$B$1:$G$20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<sst xmlns="http://schemas.openxmlformats.org/spreadsheetml/2006/main" count="67" uniqueCount="44">
  <si>
    <t>State Name</t>
  </si>
  <si>
    <t>Region</t>
  </si>
  <si>
    <t>Census 2000</t>
  </si>
  <si>
    <t>Census 1990</t>
  </si>
  <si>
    <t>Land Area</t>
  </si>
  <si>
    <t>WaterArea</t>
  </si>
  <si>
    <t>California</t>
  </si>
  <si>
    <t>Cook</t>
  </si>
  <si>
    <t>Haris</t>
  </si>
  <si>
    <t>Texas</t>
  </si>
  <si>
    <t>San Diego</t>
  </si>
  <si>
    <t>Orange</t>
  </si>
  <si>
    <t>Kings</t>
  </si>
  <si>
    <t>New York</t>
  </si>
  <si>
    <t>Maricopa</t>
  </si>
  <si>
    <t>Wayne</t>
  </si>
  <si>
    <t>Queens</t>
  </si>
  <si>
    <t>Dade</t>
  </si>
  <si>
    <t>Dallas</t>
  </si>
  <si>
    <t>Philadelphia</t>
  </si>
  <si>
    <t>Santa Clara</t>
  </si>
  <si>
    <t>San Bernard</t>
  </si>
  <si>
    <t>Cuyahoga</t>
  </si>
  <si>
    <t>Middlesex</t>
  </si>
  <si>
    <t>Allegheny</t>
  </si>
  <si>
    <t>Arizona</t>
  </si>
  <si>
    <t>Michigan</t>
  </si>
  <si>
    <t>Florida</t>
  </si>
  <si>
    <t>Washington</t>
  </si>
  <si>
    <t>Ohio</t>
  </si>
  <si>
    <t>Massachusetts</t>
  </si>
  <si>
    <t>Pennsylvania</t>
  </si>
  <si>
    <t>County</t>
  </si>
  <si>
    <t>Region 1</t>
  </si>
  <si>
    <t>Region 3</t>
  </si>
  <si>
    <t>Region 5</t>
  </si>
  <si>
    <t>Region 9</t>
  </si>
  <si>
    <t>Region 2</t>
  </si>
  <si>
    <t>Region 6</t>
  </si>
  <si>
    <t>Region 4</t>
  </si>
  <si>
    <t>Region 8</t>
  </si>
  <si>
    <t>Region 7</t>
  </si>
  <si>
    <t>Los Angeles</t>
  </si>
  <si>
    <t>Illinois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</si>
</sst>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yncfusion Inc" refreshedDate="44614.416877384261" createdVersion="3" refreshedVersion="3" minRefreshableVersion="3" recordCount="0" xr:uid="{00000000-000A-0000-FFFF-FFFF00000000}">
  <cacheSource type="worksheet">
    <worksheetSource ref="A1:G20" sheet="Data"/>
  </cacheSource>
  <cacheFields count="7">
    <cacheField name="State Name" numFmtId="0">
      <sharedItems count="11">
        <s v="California"/>
        <s v="Illinois"/>
        <s v="Texas"/>
        <s v="New York"/>
        <s v="Arizona"/>
        <s v="Michigan"/>
        <s v="Florida"/>
        <s v="Pennsylvania"/>
        <s v="Washington"/>
        <s v="Ohio"/>
        <s v="Massachusetts"/>
      </sharedItems>
    </cacheField>
    <cacheField name="County" numFmtId="0">
      <sharedItems count="18">
        <s v="Los Angeles"/>
        <s v="Cook"/>
        <s v="Haris"/>
        <s v="San Diego"/>
        <s v="Orange"/>
        <s v="Kings"/>
        <s v="Maricopa"/>
        <s v="Wayne"/>
        <s v="Queens"/>
        <s v="Dade"/>
        <s v="Dallas"/>
        <s v="Philadelphia"/>
        <s v="Santa Clara"/>
        <s v="New York"/>
        <s v="San Bernard"/>
        <s v="Cuyahoga"/>
        <s v="Middlesex"/>
        <s v="Allegheny"/>
      </sharedItems>
    </cacheField>
    <cacheField name="Region" numFmtId="0">
      <sharedItems count="9">
        <s v="Region 9"/>
        <s v="Region 5"/>
        <s v="Region 6"/>
        <s v="Region 7"/>
        <s v="Region 2"/>
        <s v="Region 4"/>
        <s v="Region 3"/>
        <s v="Region 8"/>
        <s v="Region 1"/>
      </sharedItems>
    </cacheField>
    <cacheField name="Census 2000" numFmtId="0">
      <sharedItems containsSemiMixedTypes="0" containsString="0" containsNumber="1" containsInteger="1" count="19">
        <n v="9519338"/>
        <n v="5376741"/>
        <n v="3400578"/>
        <n v="2813833"/>
        <n v="2846289"/>
        <n v="2465326"/>
        <n v="3072174"/>
        <n v="2062162"/>
        <n v="2239174"/>
        <n v="2253362"/>
        <n v="2218899"/>
        <n v="1517770"/>
        <n v="1737034"/>
        <n v="1682585"/>
        <n v="1537195"/>
        <n v="1709345"/>
        <n v="1393473"/>
        <n v="1465387"/>
        <n v="1281666"/>
      </sharedItems>
    </cacheField>
    <cacheField name="Census 1990" numFmtId="0">
      <sharedItems containsSemiMixedTypes="0" containsString="0" containsNumber="1" containsInteger="1" count="19">
        <n v="8863164"/>
        <n v="5105067"/>
        <n v="2819999"/>
        <n v="2498016"/>
        <n v="2410556"/>
        <n v="2300614"/>
        <n v="2122101"/>
        <n v="2111687"/>
        <n v="1951976"/>
        <n v="1937094"/>
        <n v="1852810"/>
        <n v="1585577"/>
        <n v="1507319"/>
        <n v="1497577"/>
        <n v="1487536"/>
        <n v="1418310"/>
        <n v="1412410"/>
        <n v="1398469"/>
        <n v="1336446"/>
      </sharedItems>
    </cacheField>
    <cacheField name="Land Area" numFmtId="0">
      <sharedItems containsSemiMixedTypes="0" containsString="0" containsNumber="1" count="19">
        <n v="4060.87"/>
        <n v="945.57"/>
        <n v="1728.38"/>
        <n v="4199.8900000000003"/>
        <n v="789.4"/>
        <n v="70.61"/>
        <n v="9203.41"/>
        <n v="614.15"/>
        <n v="109.24"/>
        <n v="1946.21"/>
        <n v="879.6"/>
        <n v="135.09"/>
        <n v="2126.04"/>
        <n v="1290.69"/>
        <n v="22.96"/>
        <n v="20052.5"/>
        <n v="458.49"/>
        <n v="823.46"/>
        <n v="730.17"/>
      </sharedItems>
    </cacheField>
    <cacheField name="WaterArea" numFmtId="0">
      <sharedItems containsSemiMixedTypes="0" containsString="0" containsNumber="1" count="19">
        <n v="691.45"/>
        <n v="689.39"/>
        <n v="48.87"/>
        <n v="325.62"/>
        <n v="158.57"/>
        <n v="26.29"/>
        <n v="21.13"/>
        <n v="58.05"/>
        <n v="69.040000000000006"/>
        <n v="77.849999999999994"/>
        <n v="28.96"/>
        <n v="7.55"/>
        <n v="180.48"/>
        <n v="13.32"/>
        <n v="10.81"/>
        <n v="52.82"/>
        <n v="787.07"/>
        <n v="24.08"/>
        <n v="14.5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8" minRefreshableVersion="3" enableDrill="0" useAutoFormatting="1" itemPrintTitles="1" createdVersion="6" indent="0" compact="0" outline="1" outlineData="1" compactData="0">
  <location ref="A1:D1" firstHeaderRow="0" firstDataRow="1" firstDataCol="3"/>
  <pivotFields count="7">
    <pivotField axis="axisRow" compact="0" showAll="0">
      <items count="12">
        <item x="4"/>
        <item x="0"/>
        <item x="6"/>
        <item x="1"/>
        <item x="10"/>
        <item x="5"/>
        <item x="3"/>
        <item x="9"/>
        <item x="7"/>
        <item x="2"/>
        <item x="8"/>
        <item t="default"/>
      </items>
    </pivotField>
    <pivotField axis="axisRow" compact="0" showAll="0">
      <items count="19">
        <item x="17"/>
        <item x="1"/>
        <item x="15"/>
        <item x="9"/>
        <item x="10"/>
        <item x="2"/>
        <item x="5"/>
        <item x="0"/>
        <item x="6"/>
        <item x="16"/>
        <item x="13"/>
        <item x="4"/>
        <item x="11"/>
        <item x="8"/>
        <item x="14"/>
        <item x="3"/>
        <item x="12"/>
        <item x="7"/>
        <item t="default"/>
      </items>
    </pivotField>
    <pivotField axis="axisRow" compact="0" showAll="0">
      <items count="10">
        <item x="8"/>
        <item x="4"/>
        <item x="6"/>
        <item x="5"/>
        <item x="1"/>
        <item x="2"/>
        <item x="3"/>
        <item x="7"/>
        <item x="0"/>
        <item t="default"/>
      </items>
    </pivotField>
    <pivotField compact="0" showAll="0"/>
    <pivotField compact="0" showAll="0"/>
    <pivotField dataField="1" compact="0" showAll="0"/>
    <pivotField dataField="1" compact="0" showAll="0"/>
  </pivotFields>
  <rowFields count="3">
    <field x="0"/>
    <field x="1"/>
    <field x="2"/>
  </rowFields>
  <colFields count="1">
    <field x="-2"/>
  </colFields>
  <dataFields count="2">
    <dataField name="Sum of Land Area" fld="5" baseField="0" baseItem="0"/>
    <dataField name="Sum of Water Area" fld="6" baseField="0" baseItem="0"/>
  </dataFields>
  <pivotTableStyleInfo name="PivotStyleMedium9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G20" totalsRowShown="0">
  <autoFilter ref="A1:G20" xr:uid="{00000000-0009-0000-0100-000002000000}"/>
  <tableColumns count="7">
    <tableColumn id="1" xr3:uid="{00000000-0010-0000-0000-000001000000}" name="State Name"/>
    <tableColumn id="2" xr3:uid="{00000000-0010-0000-0000-000002000000}" name="County"/>
    <tableColumn id="3" xr3:uid="{00000000-0010-0000-0000-000003000000}" name="Region"/>
    <tableColumn id="4" xr3:uid="{00000000-0010-0000-0000-000004000000}" name="Census 2000"/>
    <tableColumn id="5" xr3:uid="{00000000-0010-0000-0000-000005000000}" name="Census 1990"/>
    <tableColumn id="6" xr3:uid="{00000000-0010-0000-0000-000006000000}" name="Land Area"/>
    <tableColumn id="7" xr3:uid="{00000000-0010-0000-0000-000007000000}" name="WaterAre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A4" sqref="A4"/>
    </sheetView>
  </sheetViews>
  <sheetFormatPr defaultRowHeight="14.4" x14ac:dyDescent="0.3"/>
  <cols>
    <col min="1" max="1" width="15.21875" customWidth="1"/>
    <col min="2" max="2" width="15.44140625" customWidth="1"/>
    <col min="3" max="3" width="10.5546875" customWidth="1"/>
    <col min="4" max="4" width="15.5546875" customWidth="1"/>
    <col min="5" max="5" width="15.44140625" customWidth="1"/>
    <col min="6" max="6" width="13.21875" customWidth="1"/>
    <col min="7" max="7" width="14.21875" customWidth="1"/>
  </cols>
  <sheetData>
    <row r="1" spans="1:7" x14ac:dyDescent="0.3">
      <c r="A1" t="s">
        <v>0</v>
      </c>
      <c r="B1" t="s">
        <v>32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 t="s">
        <v>42</v>
      </c>
      <c r="C2" t="s">
        <v>36</v>
      </c>
      <c r="D2">
        <v>9519338</v>
      </c>
      <c r="E2">
        <v>8863164</v>
      </c>
      <c r="F2">
        <v>4060.87</v>
      </c>
      <c r="G2">
        <v>691.45</v>
      </c>
    </row>
    <row r="3" spans="1:7" x14ac:dyDescent="0.3">
      <c r="A3" t="s">
        <v>43</v>
      </c>
      <c r="B3" t="s">
        <v>7</v>
      </c>
      <c r="C3" t="s">
        <v>35</v>
      </c>
      <c r="D3">
        <v>5376741</v>
      </c>
      <c r="E3">
        <v>5105067</v>
      </c>
      <c r="F3">
        <v>945.57</v>
      </c>
      <c r="G3">
        <v>689.39</v>
      </c>
    </row>
    <row r="4" spans="1:7" x14ac:dyDescent="0.3">
      <c r="A4" t="s">
        <v>9</v>
      </c>
      <c r="B4" t="s">
        <v>8</v>
      </c>
      <c r="C4" t="s">
        <v>38</v>
      </c>
      <c r="D4">
        <v>3400578</v>
      </c>
      <c r="E4">
        <v>2819999</v>
      </c>
      <c r="F4">
        <v>1728.38</v>
      </c>
      <c r="G4">
        <v>48.87</v>
      </c>
    </row>
    <row r="5" spans="1:7" x14ac:dyDescent="0.3">
      <c r="A5" t="s">
        <v>6</v>
      </c>
      <c r="B5" t="s">
        <v>10</v>
      </c>
      <c r="C5" t="s">
        <v>36</v>
      </c>
      <c r="D5">
        <v>2813833</v>
      </c>
      <c r="E5">
        <v>2498016</v>
      </c>
      <c r="F5">
        <v>4199.8900000000003</v>
      </c>
      <c r="G5">
        <v>325.62</v>
      </c>
    </row>
    <row r="6" spans="1:7" x14ac:dyDescent="0.3">
      <c r="A6" t="s">
        <v>6</v>
      </c>
      <c r="B6" t="s">
        <v>11</v>
      </c>
      <c r="C6" t="s">
        <v>41</v>
      </c>
      <c r="D6">
        <v>2846289</v>
      </c>
      <c r="E6">
        <v>2410556</v>
      </c>
      <c r="F6">
        <v>789.4</v>
      </c>
      <c r="G6">
        <v>158.57</v>
      </c>
    </row>
    <row r="7" spans="1:7" x14ac:dyDescent="0.3">
      <c r="A7" t="s">
        <v>13</v>
      </c>
      <c r="B7" t="s">
        <v>12</v>
      </c>
      <c r="C7" t="s">
        <v>37</v>
      </c>
      <c r="D7">
        <v>2465326</v>
      </c>
      <c r="E7">
        <v>2300614</v>
      </c>
      <c r="F7">
        <v>70.61</v>
      </c>
      <c r="G7">
        <v>26.29</v>
      </c>
    </row>
    <row r="8" spans="1:7" x14ac:dyDescent="0.3">
      <c r="A8" t="s">
        <v>25</v>
      </c>
      <c r="B8" t="s">
        <v>14</v>
      </c>
      <c r="C8" t="s">
        <v>41</v>
      </c>
      <c r="D8">
        <v>3072174</v>
      </c>
      <c r="E8">
        <v>2122101</v>
      </c>
      <c r="F8">
        <v>9203.41</v>
      </c>
      <c r="G8">
        <v>21.13</v>
      </c>
    </row>
    <row r="9" spans="1:7" x14ac:dyDescent="0.3">
      <c r="A9" t="s">
        <v>26</v>
      </c>
      <c r="B9" t="s">
        <v>15</v>
      </c>
      <c r="C9" t="s">
        <v>35</v>
      </c>
      <c r="D9">
        <v>2062162</v>
      </c>
      <c r="E9">
        <v>2111687</v>
      </c>
      <c r="F9">
        <v>614.15</v>
      </c>
      <c r="G9">
        <v>58.05</v>
      </c>
    </row>
    <row r="10" spans="1:7" x14ac:dyDescent="0.3">
      <c r="A10" t="s">
        <v>13</v>
      </c>
      <c r="B10" t="s">
        <v>16</v>
      </c>
      <c r="C10" t="s">
        <v>37</v>
      </c>
      <c r="D10">
        <v>2239174</v>
      </c>
      <c r="E10">
        <v>1951976</v>
      </c>
      <c r="F10">
        <v>109.24</v>
      </c>
      <c r="G10">
        <v>69.040000000000006</v>
      </c>
    </row>
    <row r="11" spans="1:7" x14ac:dyDescent="0.3">
      <c r="A11" t="s">
        <v>27</v>
      </c>
      <c r="B11" t="s">
        <v>17</v>
      </c>
      <c r="C11" t="s">
        <v>39</v>
      </c>
      <c r="D11">
        <v>2253362</v>
      </c>
      <c r="E11">
        <v>1937094</v>
      </c>
      <c r="F11">
        <v>1946.21</v>
      </c>
      <c r="G11">
        <v>77.849999999999994</v>
      </c>
    </row>
    <row r="12" spans="1:7" x14ac:dyDescent="0.3">
      <c r="A12" t="s">
        <v>9</v>
      </c>
      <c r="B12" t="s">
        <v>18</v>
      </c>
      <c r="C12" t="s">
        <v>38</v>
      </c>
      <c r="D12">
        <v>2218899</v>
      </c>
      <c r="E12">
        <v>1852810</v>
      </c>
      <c r="F12">
        <v>879.6</v>
      </c>
      <c r="G12">
        <v>28.96</v>
      </c>
    </row>
    <row r="13" spans="1:7" x14ac:dyDescent="0.3">
      <c r="A13" t="s">
        <v>31</v>
      </c>
      <c r="B13" t="s">
        <v>19</v>
      </c>
      <c r="C13" t="s">
        <v>34</v>
      </c>
      <c r="D13">
        <v>1517770</v>
      </c>
      <c r="E13">
        <v>1585577</v>
      </c>
      <c r="F13">
        <v>135.09</v>
      </c>
      <c r="G13">
        <v>7.55</v>
      </c>
    </row>
    <row r="14" spans="1:7" x14ac:dyDescent="0.3">
      <c r="A14" t="s">
        <v>28</v>
      </c>
      <c r="B14" t="s">
        <v>12</v>
      </c>
      <c r="C14" t="s">
        <v>40</v>
      </c>
      <c r="D14">
        <v>1737034</v>
      </c>
      <c r="E14">
        <v>1507319</v>
      </c>
      <c r="F14">
        <v>2126.04</v>
      </c>
      <c r="G14">
        <v>180.48</v>
      </c>
    </row>
    <row r="15" spans="1:7" x14ac:dyDescent="0.3">
      <c r="A15" t="s">
        <v>6</v>
      </c>
      <c r="B15" t="s">
        <v>20</v>
      </c>
      <c r="C15" t="s">
        <v>36</v>
      </c>
      <c r="D15">
        <v>1682585</v>
      </c>
      <c r="E15">
        <v>1497577</v>
      </c>
      <c r="F15">
        <v>1290.69</v>
      </c>
      <c r="G15">
        <v>13.32</v>
      </c>
    </row>
    <row r="16" spans="1:7" x14ac:dyDescent="0.3">
      <c r="A16" t="s">
        <v>13</v>
      </c>
      <c r="B16" t="s">
        <v>13</v>
      </c>
      <c r="C16" t="s">
        <v>37</v>
      </c>
      <c r="D16">
        <v>1537195</v>
      </c>
      <c r="E16">
        <v>1487536</v>
      </c>
      <c r="F16">
        <v>22.96</v>
      </c>
      <c r="G16">
        <v>10.81</v>
      </c>
    </row>
    <row r="17" spans="1:7" x14ac:dyDescent="0.3">
      <c r="A17" t="s">
        <v>6</v>
      </c>
      <c r="B17" t="s">
        <v>21</v>
      </c>
      <c r="C17" t="s">
        <v>36</v>
      </c>
      <c r="D17">
        <v>1709345</v>
      </c>
      <c r="E17">
        <v>1418310</v>
      </c>
      <c r="F17">
        <v>20052.5</v>
      </c>
      <c r="G17">
        <v>52.82</v>
      </c>
    </row>
    <row r="18" spans="1:7" x14ac:dyDescent="0.3">
      <c r="A18" t="s">
        <v>29</v>
      </c>
      <c r="B18" t="s">
        <v>22</v>
      </c>
      <c r="C18" t="s">
        <v>35</v>
      </c>
      <c r="D18">
        <v>1393473</v>
      </c>
      <c r="E18">
        <v>1412410</v>
      </c>
      <c r="F18">
        <v>458.49</v>
      </c>
      <c r="G18">
        <v>787.07</v>
      </c>
    </row>
    <row r="19" spans="1:7" x14ac:dyDescent="0.3">
      <c r="A19" t="s">
        <v>30</v>
      </c>
      <c r="B19" t="s">
        <v>23</v>
      </c>
      <c r="C19" t="s">
        <v>33</v>
      </c>
      <c r="D19">
        <v>1465387</v>
      </c>
      <c r="E19">
        <v>1398469</v>
      </c>
      <c r="F19">
        <v>823.46</v>
      </c>
      <c r="G19">
        <v>24.08</v>
      </c>
    </row>
    <row r="20" spans="1:7" x14ac:dyDescent="0.3">
      <c r="A20" t="s">
        <v>31</v>
      </c>
      <c r="B20" t="s">
        <v>24</v>
      </c>
      <c r="C20" t="s">
        <v>34</v>
      </c>
      <c r="D20">
        <v>1281666</v>
      </c>
      <c r="E20">
        <v>1336446</v>
      </c>
      <c r="F20">
        <v>730.17</v>
      </c>
      <c r="G20">
        <v>14.54</v>
      </c>
    </row>
  </sheetData>
  <pageMargins left="0.7" right="0.7" top="0.75" bottom="0.75" header="0.3" footer="0.3"/>
  <pageSetup orientation="portrait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showGridLines="0" tabSelected="1" workbookViewId="0">
      <selection activeCell="D51" sqref="D51"/>
    </sheetView>
  </sheetViews>
  <sheetFormatPr defaultRowHeight="14.4" x14ac:dyDescent="0.3"/>
  <cols>
    <col min="1" max="1" width="16.21875" bestFit="1" customWidth="1"/>
    <col min="2" max="2" width="13.77734375" bestFit="1" customWidth="1"/>
    <col min="3" max="3" width="9" bestFit="1" customWidth="1"/>
    <col min="4" max="4" width="17.44140625" bestFit="1" customWidth="1"/>
    <col min="5" max="5" width="18.77734375" bestFit="1" customWidth="1"/>
    <col min="6" max="14" width="11.77734375" customWidth="1"/>
    <col min="15" max="15" width="17.5546875" bestFit="1" customWidth="1"/>
    <col min="16" max="16" width="16.44140625" bestFit="1" customWidth="1"/>
    <col min="17" max="17" width="17.5546875" bestFit="1" customWidth="1"/>
    <col min="18" max="18" width="16.44140625" bestFit="1" customWidth="1"/>
    <col min="19" max="19" width="17.5546875" bestFit="1" customWidth="1"/>
  </cols>
  <sheetData>
    <row r="1" spans="1:3" x14ac:dyDescent="0.3">
      <c r="A1" s="1" t="s">
        <v>0</v>
      </c>
      <c r="B1" s="1" t="s">
        <v>32</v>
      </c>
      <c r="C1" s="1" t="s">
        <v>1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Syncfusion Inc</dc:creator>
  <cp:lastModifiedBy>Vinothkumar Sampath</cp:lastModifiedBy>
  <dcterms:created xsi:type="dcterms:W3CDTF">2020-02-25T06:57:24Z</dcterms:created>
  <dcterms:modified xsi:type="dcterms:W3CDTF">2026-05-07T07:56:33Z</dcterms:modified>
</cp:coreProperties>
</file>