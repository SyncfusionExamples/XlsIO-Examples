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ntvydas\Downloads\"/>
    </mc:Choice>
  </mc:AlternateContent>
  <xr:revisionPtr revIDLastSave="0" documentId="13_ncr:1_{1CB1ED7F-2171-4CC6-A5B7-1B53A23DDC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apas1" sheetId="1" r:id="rId1"/>
  </sheets>
  <definedNames>
    <definedName name="_xlnm._FilterDatabase" localSheetId="0" hidden="1">Lapas1!$B$11:$M$234</definedName>
    <definedName name="_xlnm.Print_Area" localSheetId="0">Lapas1!$B$1:$N$251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7" i="1" l="1"/>
  <c r="J202" i="1"/>
  <c r="J96" i="1"/>
  <c r="J131" i="1" l="1"/>
  <c r="J95" i="1" l="1"/>
  <c r="F242" i="1"/>
  <c r="F241" i="1" s="1"/>
  <c r="F239" i="1" s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162" i="1"/>
  <c r="J161" i="1"/>
  <c r="J160" i="1"/>
  <c r="J159" i="1"/>
  <c r="J158" i="1"/>
  <c r="J157" i="1"/>
  <c r="J156" i="1"/>
  <c r="J155" i="1"/>
  <c r="J154" i="1"/>
  <c r="J201" i="1"/>
  <c r="J200" i="1"/>
  <c r="J199" i="1"/>
  <c r="J198" i="1"/>
  <c r="J197" i="1"/>
  <c r="J196" i="1"/>
  <c r="J195" i="1"/>
  <c r="J194" i="1"/>
  <c r="J153" i="1"/>
  <c r="J152" i="1"/>
  <c r="J151" i="1"/>
  <c r="J150" i="1"/>
  <c r="J149" i="1"/>
  <c r="J148" i="1"/>
  <c r="J147" i="1"/>
  <c r="J146" i="1"/>
  <c r="J145" i="1"/>
  <c r="J14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33" i="1"/>
  <c r="J22" i="1"/>
  <c r="J21" i="1"/>
  <c r="J20" i="1"/>
  <c r="J19" i="1"/>
  <c r="J18" i="1"/>
  <c r="J17" i="1"/>
  <c r="J16" i="1"/>
  <c r="J15" i="1"/>
  <c r="J14" i="1"/>
  <c r="J13" i="1"/>
  <c r="J12" i="1"/>
  <c r="J11" i="1"/>
  <c r="I234" i="1"/>
  <c r="J234" i="1"/>
</calcChain>
</file>

<file path=xl/sharedStrings.xml><?xml version="1.0" encoding="utf-8"?>
<sst xmlns="http://schemas.openxmlformats.org/spreadsheetml/2006/main" count="1607" uniqueCount="672">
  <si>
    <t>Eil. Nr.</t>
  </si>
  <si>
    <t>Seniūnija</t>
  </si>
  <si>
    <t>Gyvenvietė</t>
  </si>
  <si>
    <t>Gatvė</t>
  </si>
  <si>
    <t>Namo numeris</t>
  </si>
  <si>
    <t>Statinio, patalpos, inžinerinio įrenginio ar kito objekto pavadinimas</t>
  </si>
  <si>
    <t>Statinio, patalpos, inžinerinio įrenginio ar kito objekto valdytojas</t>
  </si>
  <si>
    <t>Patalpų plotas,             kv. m</t>
  </si>
  <si>
    <t>Galinčių pasislėpti  gyventojų skaičius (3,5 kv. m)</t>
  </si>
  <si>
    <t>LKS koordinatė X</t>
  </si>
  <si>
    <t>LKS koordinatė Y</t>
  </si>
  <si>
    <t xml:space="preserve">Aleksoto </t>
  </si>
  <si>
    <t>Freda</t>
  </si>
  <si>
    <t xml:space="preserve">Antakalnio g. </t>
  </si>
  <si>
    <t xml:space="preserve">Aleksoto Šv. Kazimiero bažnyčia </t>
  </si>
  <si>
    <t>Vilkaviškio vyskupija</t>
  </si>
  <si>
    <t>Ne</t>
  </si>
  <si>
    <t>Jiesia</t>
  </si>
  <si>
    <t>Bitininkų g.</t>
  </si>
  <si>
    <t>Kauno  lopšelis-darželis „Boružėlė“</t>
  </si>
  <si>
    <t>Julijanava</t>
  </si>
  <si>
    <t>Antanavos g.</t>
  </si>
  <si>
    <t>Kauno miesto savivaldybė</t>
  </si>
  <si>
    <t>V. Čepinskio g.</t>
  </si>
  <si>
    <t xml:space="preserve">Kauno Jurgio Dobkevičiaus progimnazija </t>
  </si>
  <si>
    <t>Taip</t>
  </si>
  <si>
    <t>Tirkiliškės</t>
  </si>
  <si>
    <t>Tirkiliškių g.</t>
  </si>
  <si>
    <t>Kauno Tirkiliškių lopšelis-darželis</t>
  </si>
  <si>
    <t>M. Yčo g.</t>
  </si>
  <si>
    <t>Linksmadvaris</t>
  </si>
  <si>
    <t>Amerikos Lietuvių g.</t>
  </si>
  <si>
    <t>Kauno vaikų darželis ,,Dvarelis“</t>
  </si>
  <si>
    <t>Prezidento Valdo Adamkaus gimnazija</t>
  </si>
  <si>
    <t>6081201</t>
  </si>
  <si>
    <t>Naujamiestis</t>
  </si>
  <si>
    <t>Maironio g.</t>
  </si>
  <si>
    <t xml:space="preserve">Mykolo Romerio universitetas </t>
  </si>
  <si>
    <t>Dainavos g.</t>
  </si>
  <si>
    <t>Kauno  dailės gimnazija</t>
  </si>
  <si>
    <t>Kauno dailės gimnazija</t>
  </si>
  <si>
    <t>Kalno</t>
  </si>
  <si>
    <t>Savanorių pr.</t>
  </si>
  <si>
    <t>Kauno „Saulės“ gimnazija</t>
  </si>
  <si>
    <t>Laisvės al.</t>
  </si>
  <si>
    <t>Karaliaus Mindaugo pr.</t>
  </si>
  <si>
    <t>J. Gruodžio g.</t>
  </si>
  <si>
    <t>Kauno 1-oji muzikos mokykla</t>
  </si>
  <si>
    <t xml:space="preserve">A. Mickevičaus g. </t>
  </si>
  <si>
    <t>Karmelitai</t>
  </si>
  <si>
    <t>Vytauto pr.</t>
  </si>
  <si>
    <t>Kauno tarptautinė gimnazija</t>
  </si>
  <si>
    <t>Senamiestis</t>
  </si>
  <si>
    <t>D. Poškos g.</t>
  </si>
  <si>
    <t>Kauno berniukų chorinio dainavimo mokykla „Varpelis“</t>
  </si>
  <si>
    <t>M. K. Čiurlionio g.</t>
  </si>
  <si>
    <t>Kauno geležinkelio stoties keleivių rūmai</t>
  </si>
  <si>
    <t>AB „LTG Infra“</t>
  </si>
  <si>
    <t>Kauno informacinių technologijų mokykla</t>
  </si>
  <si>
    <t>Kęstučio g.</t>
  </si>
  <si>
    <t>Kauno informacinių technologijų mokyklos Gimnazijos skyrius</t>
  </si>
  <si>
    <t>Rotušės a.</t>
  </si>
  <si>
    <t>Kauno jėzuitų gimnazija</t>
  </si>
  <si>
    <t>Kauno Juozo Gruodžio konservatorija</t>
  </si>
  <si>
    <t>Lietuvos Respublikos švietimo, mokslo ir sporto ministerija</t>
  </si>
  <si>
    <t>Kauno Juozo Naujalio muzikos gimnazija (administracinis pastatas)</t>
  </si>
  <si>
    <t>6084412</t>
  </si>
  <si>
    <t>Kauno Juozo Naujalio muzikos gimnazija (mokymo korpusas)</t>
  </si>
  <si>
    <t>Kauno kino centras ,,Romuva“</t>
  </si>
  <si>
    <t>A. Mackevičiaus g.</t>
  </si>
  <si>
    <t>Kauno kolegijos Menų akademija</t>
  </si>
  <si>
    <t>Kauno kolegija</t>
  </si>
  <si>
    <t>Muitinės g.</t>
  </si>
  <si>
    <t>Kauno kolegijos Medicinos fakulteto II rūmai</t>
  </si>
  <si>
    <t>Gedimino g.</t>
  </si>
  <si>
    <t>Kauno kolegijos Verslo fakultetas</t>
  </si>
  <si>
    <t>Gimnazijos g.</t>
  </si>
  <si>
    <t>Kauno Maironio universitetinė gimnazija</t>
  </si>
  <si>
    <t>Kauno maisto pramonės ir prekybos mokymo centro padalinys</t>
  </si>
  <si>
    <t>Kauno maisto pramonės ir prekybos mokymo centras</t>
  </si>
  <si>
    <t>K. Donelaičio g.</t>
  </si>
  <si>
    <t>Kauno paveikslų galerija</t>
  </si>
  <si>
    <t>Nacionalinis M. K. Čiurlionio dailės muziejus</t>
  </si>
  <si>
    <t>Kauno švietimo inovacijų centras</t>
  </si>
  <si>
    <t>Nemuno g.</t>
  </si>
  <si>
    <t xml:space="preserve">Kauno Senamiesčio progimnazija </t>
  </si>
  <si>
    <t>Miško g.</t>
  </si>
  <si>
    <t>Kauno Stepono Dariaus ir Stasio Girėno gimnazija</t>
  </si>
  <si>
    <t>Kauno Tado Ivanausko zoologijos muziejus</t>
  </si>
  <si>
    <t>Lietuvos Respublikos aplinkos ministerija</t>
  </si>
  <si>
    <t>Trakų g.</t>
  </si>
  <si>
    <t xml:space="preserve">Kauno Vinco Kudirkos progimnazija </t>
  </si>
  <si>
    <t xml:space="preserve">E. Ožeškienės g. </t>
  </si>
  <si>
    <t>Koncertinė įstaiga Kauno valstybinė filharmonija</t>
  </si>
  <si>
    <t>Nacionalinis Kauno dramos teatras</t>
  </si>
  <si>
    <t>Nacionalinis  Kauno  dramos teatras</t>
  </si>
  <si>
    <t>Nacionalinio Kauno dramos teatro Ilgoji salė</t>
  </si>
  <si>
    <t>87A</t>
  </si>
  <si>
    <t>Kauno valstybinis lėlių teatras</t>
  </si>
  <si>
    <t>Kauno valstybinis muzikinis teatras</t>
  </si>
  <si>
    <t>Kauno technologijos universiteto centriniai rūmai</t>
  </si>
  <si>
    <t>Kauno technologijos universitetas</t>
  </si>
  <si>
    <t>Kauno technologijos universiteto Ekonomikos ir verslo fakulteto korpusas</t>
  </si>
  <si>
    <t>Kauno technologijos universiteto III rūmai</t>
  </si>
  <si>
    <t>A. Mickevičiaus g.</t>
  </si>
  <si>
    <t>Kauno technologijos universiteto Socialinių, humanitarinių mokslų ir menų fakulteto korpusas</t>
  </si>
  <si>
    <t>Lietuvos Respublikos žemės ūkio rūmai</t>
  </si>
  <si>
    <t>Lietuvos sveikatos mokslų universitetas</t>
  </si>
  <si>
    <t>Lietuvos sveikatos mokslų universitetas (Infrastruktūros valdymo tarnyba)</t>
  </si>
  <si>
    <t>Vilniaus g.</t>
  </si>
  <si>
    <t>Šv. Apaštalų Petro ir Povilo arkikatedra bazilika</t>
  </si>
  <si>
    <t>Kauno arkivyskupija</t>
  </si>
  <si>
    <t>Šv. Kryžiaus (Karmelitų) bažnyčia</t>
  </si>
  <si>
    <t>Nepriklausomybės a.</t>
  </si>
  <si>
    <t xml:space="preserve"> Kauno Šv. Arkangelo Mykolo (Įgulos) bažnyčia</t>
  </si>
  <si>
    <t>Aleksoto g.</t>
  </si>
  <si>
    <t>Švč. Mergelės Marijos ėmimo Į dangų (Vytauto Didžiojo) bažnyčia</t>
  </si>
  <si>
    <t>A. Jakšto g.</t>
  </si>
  <si>
    <t>Švč. Trejybės bažnyčia</t>
  </si>
  <si>
    <t>Vilniaus universiteto Kauno fakulteto korpusas</t>
  </si>
  <si>
    <t>Vilniaus universiteto Kauno fakultetas</t>
  </si>
  <si>
    <t>Vytauto Didžiojo karo muziejus</t>
  </si>
  <si>
    <t>S. Daukanto g.</t>
  </si>
  <si>
    <t>Vytauto Didžiojo universitetas</t>
  </si>
  <si>
    <t>Kauno kultūros centras</t>
  </si>
  <si>
    <t xml:space="preserve"> Kauno kultūros centras</t>
  </si>
  <si>
    <t>VŠĮ Kauno miesto poliklinika</t>
  </si>
  <si>
    <t>Dainavos</t>
  </si>
  <si>
    <t>Dainava</t>
  </si>
  <si>
    <t>Partizanų g.</t>
  </si>
  <si>
    <t>Kauno lopšelis-darželis „Vaikystė“</t>
  </si>
  <si>
    <t>Pramonės pr.</t>
  </si>
  <si>
    <t>Kauno kolegijos Technologijų fakultetas</t>
  </si>
  <si>
    <t xml:space="preserve">Dainavos </t>
  </si>
  <si>
    <t>Kauno  lopšelis-darželis „Sadutė“</t>
  </si>
  <si>
    <t>Taikos pr.</t>
  </si>
  <si>
    <t>Kauno „Vyturio“ gimnazija</t>
  </si>
  <si>
    <t>Kauno Aleksandro Stulginskio mokykla</t>
  </si>
  <si>
    <t>Kauno Bernardo Brazdžionio mokykla</t>
  </si>
  <si>
    <t>V. Krėvės pr.</t>
  </si>
  <si>
    <t>95A</t>
  </si>
  <si>
    <t>Kauno Gerojo Ganytojo bažnyčia</t>
  </si>
  <si>
    <t>Kauno Juozo Urbšio progimnazija</t>
  </si>
  <si>
    <t>Kauno lopšelis-darželis „Girinukas“</t>
  </si>
  <si>
    <t>Birželio 23-iosios g.</t>
  </si>
  <si>
    <t>Kauno lopšelis-darželis „Kūlverstukas“</t>
  </si>
  <si>
    <t>236A</t>
  </si>
  <si>
    <t>Kauno lopšelis-darželis „Linelis“</t>
  </si>
  <si>
    <t>Kauno lopšelis-darželis „Pagrandukas“</t>
  </si>
  <si>
    <t>63A</t>
  </si>
  <si>
    <t>Kauno lopšelis-darželis „Pasaka“</t>
  </si>
  <si>
    <t>Kauno lopšelis-darželis „Saulutė“</t>
  </si>
  <si>
    <t>Kauno lopšelis-darželis „Želmenėlis“</t>
  </si>
  <si>
    <t xml:space="preserve"> Kauno maisto pramonės ir prekybos mokymo centras</t>
  </si>
  <si>
    <t>6087302</t>
  </si>
  <si>
    <t xml:space="preserve">   105A</t>
  </si>
  <si>
    <t>Kauno menų darželis „Etiudas“</t>
  </si>
  <si>
    <t>Kovo 11-osios g.</t>
  </si>
  <si>
    <t>Kauno Viktoro Kuprevičiaus progimnazija</t>
  </si>
  <si>
    <t>Vytauto Didžiojo universiteto  „Atžalyno“  progimnazija</t>
  </si>
  <si>
    <t>Vytauto Didžiojo universiteto klasikinio ugdymo mokykla</t>
  </si>
  <si>
    <t>Kauno technologijų mokymo centro pastatas</t>
  </si>
  <si>
    <t>Kauno technologijų mokymo centras</t>
  </si>
  <si>
    <t>Kauno technologijų mokymo centro padalinys</t>
  </si>
  <si>
    <t xml:space="preserve">Eigulių </t>
  </si>
  <si>
    <t>Eiguliai</t>
  </si>
  <si>
    <t>Žeimenos g.</t>
  </si>
  <si>
    <t>Generolo Povilo Plechavičiaus kadetų licėjus</t>
  </si>
  <si>
    <t>Kalniečių g</t>
  </si>
  <si>
    <t>Kauno  lopšelis-darželis „Žemyna“</t>
  </si>
  <si>
    <t>Šiaurės pr.</t>
  </si>
  <si>
    <t>Kauno „Paparčio“ pradinė mokykla</t>
  </si>
  <si>
    <t>Kauno Suzuki progimnazija</t>
  </si>
  <si>
    <t>Geležinio Vilko g.</t>
  </si>
  <si>
    <t>Kauno Kazio Griniaus progimnazija</t>
  </si>
  <si>
    <t>P. Plechavičiaus g.</t>
  </si>
  <si>
    <t>Kauno lopšelis-darželis „Kregždutė“</t>
  </si>
  <si>
    <t>Kauno lopšelis-darželis „Mažylis“</t>
  </si>
  <si>
    <t>Ašigalio g.</t>
  </si>
  <si>
    <t>Kauno lopšelis-darželis „Naminukas“</t>
  </si>
  <si>
    <t>Kalniečių g.</t>
  </si>
  <si>
    <t xml:space="preserve">   245A</t>
  </si>
  <si>
    <t>Kauno lopšelis-darželis „Spindulėlis</t>
  </si>
  <si>
    <t>Sukilėlių pr.</t>
  </si>
  <si>
    <t>Kauno lopšelis-darželis „Spindulys“</t>
  </si>
  <si>
    <t>A. Ramanausko-Vanago g.</t>
  </si>
  <si>
    <t>Kauno lopšelis-darželis „Šermukšnėlis“</t>
  </si>
  <si>
    <t>Pakraščio g.</t>
  </si>
  <si>
    <t xml:space="preserve">   7A</t>
  </si>
  <si>
    <t>Kauno lopšelis-darželis „Tukas“</t>
  </si>
  <si>
    <t>Kauno lopšelis-darželis „Vaivorykštė“</t>
  </si>
  <si>
    <t>S. Žukausko g.</t>
  </si>
  <si>
    <t>Kauno lopšelis-darželis „Varpelis“</t>
  </si>
  <si>
    <t>Kauno lopšelis-darželis „Žara“</t>
  </si>
  <si>
    <t>Kauno lopšelis-darželis „Vyturėlis“</t>
  </si>
  <si>
    <t>Kauno Martyno Mažvydo progimnazija</t>
  </si>
  <si>
    <t>Kauno Pilėnų progimnazija</t>
  </si>
  <si>
    <t>P. Lukšio g.</t>
  </si>
  <si>
    <t>VšĮ Vytauto Didžiojo universiteto „Rasos“ gimnazija</t>
  </si>
  <si>
    <t>Gričiupis</t>
  </si>
  <si>
    <t>A. ir J. Gravrogkų g.</t>
  </si>
  <si>
    <t>Kauno „Nemuno“ mokykla</t>
  </si>
  <si>
    <t>Vakarų g.</t>
  </si>
  <si>
    <t>Kauno „Varpelio“ pradinė mokykla</t>
  </si>
  <si>
    <t xml:space="preserve">Rytų g. </t>
  </si>
  <si>
    <t>Kauno „Varpo“ gimnazija</t>
  </si>
  <si>
    <t>Radvilėnų pl.</t>
  </si>
  <si>
    <t>Tunelio g.</t>
  </si>
  <si>
    <t>Kauno Jono Laužiko mokykla</t>
  </si>
  <si>
    <t>Kauno Kovo 11-osios gimnazija</t>
  </si>
  <si>
    <t xml:space="preserve">   25B</t>
  </si>
  <si>
    <t>Kauno lopšelis-darželis „Girstutis“</t>
  </si>
  <si>
    <t>Kauno lopšelis-darželis „Malūnėlis“</t>
  </si>
  <si>
    <t>K. Baršausko g.</t>
  </si>
  <si>
    <t>Kauno lopšelis-darželis „Smalsutis“</t>
  </si>
  <si>
    <t>Pašilės g.</t>
  </si>
  <si>
    <t>Kauno lopšelis-darželis „Šilinukas“</t>
  </si>
  <si>
    <t>Žuvinto g.</t>
  </si>
  <si>
    <t>Kauno lopšelis-darželis „Žuvintas“</t>
  </si>
  <si>
    <t>Kauno lopšelis-darželis „Nežiniukas“</t>
  </si>
  <si>
    <t xml:space="preserve">Kauno Simono Daukanto progimnazija </t>
  </si>
  <si>
    <t>Kauno technologijos universiteto ,,Santakos“ slėnis</t>
  </si>
  <si>
    <t xml:space="preserve">Studentų g. </t>
  </si>
  <si>
    <t>Kauno technologijos universiteto bendrabutis Nr. 3</t>
  </si>
  <si>
    <t xml:space="preserve">Pašilės g. </t>
  </si>
  <si>
    <t>Kauno technologijos universiteto bendrabutis Nr. 11</t>
  </si>
  <si>
    <t>Kauno technologijos universiteto bendrabutis Nr. 16</t>
  </si>
  <si>
    <t>Kauno technologijos universiteto bendrabutis Nr. 2</t>
  </si>
  <si>
    <t>Kauno technologijos universiteto bendrabutis Nr. 4</t>
  </si>
  <si>
    <t xml:space="preserve">Gričiupio g. </t>
  </si>
  <si>
    <t>Kauno technologijos universiteto bendrabutis Nr. 5</t>
  </si>
  <si>
    <t>Kauno technologijos universiteto bendrabutis Nr. 7</t>
  </si>
  <si>
    <t xml:space="preserve">A. Purėno g. </t>
  </si>
  <si>
    <t>Kauno technologijos universiteto bendrabutis Nr. 8</t>
  </si>
  <si>
    <t>Kauno technologijos universiteto Cheminės technologijos fakulteto korpusas</t>
  </si>
  <si>
    <t>Studentų g.</t>
  </si>
  <si>
    <t>Kauno technologijos universiteto Elektros ir elektronikos fakulteto korpusas</t>
  </si>
  <si>
    <t>Kauno technologijos universiteto Mechanikos inžinerijos ir dizaino fakulteto korpusas</t>
  </si>
  <si>
    <t>Kauno technologijos universiteto Statybos ir architektūros fakulteto korpusas</t>
  </si>
  <si>
    <t>Kauno kultūros centro   Girstučio padalinys</t>
  </si>
  <si>
    <t>Šv. Antano Paduviečio bažnyčia</t>
  </si>
  <si>
    <t>Panemunė</t>
  </si>
  <si>
    <t>Vaidoto g.</t>
  </si>
  <si>
    <t>Aukštosios Panemunės Švč. Mergelės Marijos bažnyčia</t>
  </si>
  <si>
    <t>Kariūnų pl.</t>
  </si>
  <si>
    <t>Kauno „Šilo“ pradinė mokykla</t>
  </si>
  <si>
    <t>Rokai</t>
  </si>
  <si>
    <t>Baltaragio g.</t>
  </si>
  <si>
    <t>Kauno lopšelis-darželis „Rokutis“</t>
  </si>
  <si>
    <t>Kauno lopšelis-darželis „Šnekutis“</t>
  </si>
  <si>
    <t>Vijūnų g.</t>
  </si>
  <si>
    <t>Prezidento Antano Smetonos gimnazija</t>
  </si>
  <si>
    <t>Birutės g.</t>
  </si>
  <si>
    <t>Kauno sanatorinis lopšelis-darželis „Pienė“</t>
  </si>
  <si>
    <t>Kauno technologijos universiteto inžinerijos licėjus</t>
  </si>
  <si>
    <t>Vaišvydava</t>
  </si>
  <si>
    <t>Vaišvydo g.</t>
  </si>
  <si>
    <t>Kauno Vaišvydavos pagrindinė mokykla</t>
  </si>
  <si>
    <t>Petrašiūnai</t>
  </si>
  <si>
    <t>T. Masiulio g.</t>
  </si>
  <si>
    <t>Biudžetinė įstaiga „Kauno biudžetinių įstaigų buhalterinė apskaita“</t>
  </si>
  <si>
    <t>Palemonas</t>
  </si>
  <si>
    <t xml:space="preserve">   Parko g.</t>
  </si>
  <si>
    <t>Kauno lopšelis-darželis „Lakštutė“</t>
  </si>
  <si>
    <t>R. Kalantos g.</t>
  </si>
  <si>
    <t>Kauno lopšelis-darželis „Šilelis“</t>
  </si>
  <si>
    <t>Naujasodis</t>
  </si>
  <si>
    <t>Draugystės pr.</t>
  </si>
  <si>
    <t>5C</t>
  </si>
  <si>
    <t>Kauno lopšelis-darželis „Vaidilutė“</t>
  </si>
  <si>
    <t>Marių g.</t>
  </si>
  <si>
    <t>Kauno Palemono gimnazija</t>
  </si>
  <si>
    <t>M. Gimbutienės g.</t>
  </si>
  <si>
    <t>Kauno Petrašiūnų progimnazija</t>
  </si>
  <si>
    <t>Palemono Švč. Mergelės Marijos rožančiaus karalienės bažnyčia</t>
  </si>
  <si>
    <t>Aukštieji Šančiai</t>
  </si>
  <si>
    <t>Prancūzų g.</t>
  </si>
  <si>
    <t>68A</t>
  </si>
  <si>
    <t>Kauno lopšelis-darželis „Čiauškutis“</t>
  </si>
  <si>
    <t>Hipodromo g</t>
  </si>
  <si>
    <t>Kauno lopšelis-darželis „Žilvitis“</t>
  </si>
  <si>
    <t>Žemieji  Šančiai</t>
  </si>
  <si>
    <t>Kranto 5-oji g.</t>
  </si>
  <si>
    <t>Kauno Motiejaus Valančiaus mokykla-darželis</t>
  </si>
  <si>
    <t>Verkių g.</t>
  </si>
  <si>
    <t>Kauno technologijos universiteto Architektūros ir statybos institutas</t>
  </si>
  <si>
    <t>Žemieji Šančiai</t>
  </si>
  <si>
    <t>Skuodo g.</t>
  </si>
  <si>
    <t>Kauno technologijos universiteto Vaižganto progimnazija</t>
  </si>
  <si>
    <t>A. Juozapavičiaus pr.</t>
  </si>
  <si>
    <t>Šančių Švč. Jėzaus širdies bažnyčia</t>
  </si>
  <si>
    <t>Vokiečių g.</t>
  </si>
  <si>
    <t xml:space="preserve">Šilainių </t>
  </si>
  <si>
    <t>Milikoniai</t>
  </si>
  <si>
    <t>Šarkuvos g.</t>
  </si>
  <si>
    <t>Kauno „Ryto“ pradinė mokykla</t>
  </si>
  <si>
    <t xml:space="preserve">Baltų pr. </t>
  </si>
  <si>
    <t>Kauno „Santaros“ gimnazija</t>
  </si>
  <si>
    <t>Kauno Jono Basanavičiaus gimnazija</t>
  </si>
  <si>
    <t>6088520</t>
  </si>
  <si>
    <t>Baltų pr.</t>
  </si>
  <si>
    <t>Kauno Jono Pauliaus II gimnazija</t>
  </si>
  <si>
    <t>Kauno Juozo Grušo meno gimnazija</t>
  </si>
  <si>
    <t>Kauno lopšelis-darželis „Aušrinė“</t>
  </si>
  <si>
    <t>Smėliai</t>
  </si>
  <si>
    <t>Apuolės g.</t>
  </si>
  <si>
    <t>Kauno lopšelis-darželis „Giliukas“</t>
  </si>
  <si>
    <t>Baltijos g.</t>
  </si>
  <si>
    <t>Kauno lopšelis-darželis „Gintarėlis“</t>
  </si>
  <si>
    <t>Sargėnai</t>
  </si>
  <si>
    <t>Pienių g.</t>
  </si>
  <si>
    <t>Kauno lopšelis-darželis „Klumpelė“</t>
  </si>
  <si>
    <t>Rasytės g.</t>
  </si>
  <si>
    <t>Kauno lopšelis-darželis „Rasytė“</t>
  </si>
  <si>
    <t>Žiemgalių g.</t>
  </si>
  <si>
    <t>Kauno lopšelis-darželis „Vėrinėlis“</t>
  </si>
  <si>
    <t xml:space="preserve">Rasytės g. </t>
  </si>
  <si>
    <t>Kauno lopšelis-darželis „Žingsnelis“</t>
  </si>
  <si>
    <t>Kauno lopšelis-darželis „Žvangutis“</t>
  </si>
  <si>
    <t>Kauno Milikonių progimnazija</t>
  </si>
  <si>
    <t>Kauno Prano Mašioto pradinė mokykla</t>
  </si>
  <si>
    <t>Kauno šv. Roko mokykla</t>
  </si>
  <si>
    <t>Vandžiogalos g.</t>
  </si>
  <si>
    <t>Kauno šv. Kazimiero progimnazija</t>
  </si>
  <si>
    <t>Vėtrungės g.</t>
  </si>
  <si>
    <t xml:space="preserve">Kauno Tado Ivanausko progimnazija </t>
  </si>
  <si>
    <t>Kauno vaikų darželis „Šarkelė“</t>
  </si>
  <si>
    <t>Vilijampolės socialinės globos namai</t>
  </si>
  <si>
    <t>Milikonių g.</t>
  </si>
  <si>
    <t>Šilainių Šv. Dvasios bažnyčia ir parapijos namai</t>
  </si>
  <si>
    <t xml:space="preserve">Vilijampolės </t>
  </si>
  <si>
    <t>Paneriai</t>
  </si>
  <si>
    <t>Demokratų g.</t>
  </si>
  <si>
    <t>Kauno Jono ir Petro Vileišių mokykla</t>
  </si>
  <si>
    <t>Varnių g.</t>
  </si>
  <si>
    <t>Kauno lopšelis-darželis „Pušaitė“</t>
  </si>
  <si>
    <t>Veršvai</t>
  </si>
  <si>
    <t>Pikulo g.</t>
  </si>
  <si>
    <t>Kauno lopšelis-darželis „Židinėlis“</t>
  </si>
  <si>
    <t>Bajorų g.</t>
  </si>
  <si>
    <t xml:space="preserve">Kauno Prano Daunio ugdymo centro padalinys </t>
  </si>
  <si>
    <t>A. Stulginskio g.</t>
  </si>
  <si>
    <t>Mūšos g.</t>
  </si>
  <si>
    <t>Kauno Veršvų gimnazija</t>
  </si>
  <si>
    <t>Tilžės g.</t>
  </si>
  <si>
    <t>Lietuvos sveikatos mokslų universitetas Veterinarijos akademija</t>
  </si>
  <si>
    <t>Panerių g.</t>
  </si>
  <si>
    <t>Vilijampolės Šv. Juozapo bažnyčia</t>
  </si>
  <si>
    <t>Žaliakalnis</t>
  </si>
  <si>
    <t>Aukštaičių g.</t>
  </si>
  <si>
    <t>Kauno Gedimino sporto ir sveikatinimo gimnazija</t>
  </si>
  <si>
    <t>Aušros g.</t>
  </si>
  <si>
    <t>Kauno Jono  Jablonskio gimnazija</t>
  </si>
  <si>
    <t>K. Petrausko g.</t>
  </si>
  <si>
    <t>Kauno kolegijos Medicinos fakulteto I rūmai</t>
  </si>
  <si>
    <t>Žemaičių g.</t>
  </si>
  <si>
    <t>31A</t>
  </si>
  <si>
    <t>Kauno Kristaus Prisikėlimo bazilika</t>
  </si>
  <si>
    <t>Kalniečiai</t>
  </si>
  <si>
    <t>Margio g.</t>
  </si>
  <si>
    <t>Kauno lopšelis-darželis „Ąžuoliukas“</t>
  </si>
  <si>
    <t>Kauno lopšelis-darželis „Bitutė“</t>
  </si>
  <si>
    <t>S. Raštikio g.</t>
  </si>
  <si>
    <t>K. Genio g.</t>
  </si>
  <si>
    <t>Kauno lopšelis-darželis „Liepaitė“</t>
  </si>
  <si>
    <t>Tvirtovės al.</t>
  </si>
  <si>
    <t>86A</t>
  </si>
  <si>
    <t>S. Lozoraičio g.</t>
  </si>
  <si>
    <t>Kauno lopšelis-darželis „Svirnelis“</t>
  </si>
  <si>
    <t>M. Jankaus g.</t>
  </si>
  <si>
    <t xml:space="preserve">   40A</t>
  </si>
  <si>
    <t>Kauno lopšelis-darželis „Žiedelis“</t>
  </si>
  <si>
    <t>Kauno mokykla- darželis „Rūtelė“</t>
  </si>
  <si>
    <t>6A</t>
  </si>
  <si>
    <t>Kauno Prano Daunio ugdymo centras</t>
  </si>
  <si>
    <t>Kauno technikos kolegija</t>
  </si>
  <si>
    <t>179C</t>
  </si>
  <si>
    <t>Kauno Žaliakalnio lopšelis-darželis</t>
  </si>
  <si>
    <t>Seinų g.</t>
  </si>
  <si>
    <t>Vaistinės skg.</t>
  </si>
  <si>
    <t>Širvintų g.</t>
  </si>
  <si>
    <t>Kauno Žaliakalnio progimnazija</t>
  </si>
  <si>
    <t>Vydūno al.</t>
  </si>
  <si>
    <t>25B</t>
  </si>
  <si>
    <t>25A</t>
  </si>
  <si>
    <t>Sporto g.</t>
  </si>
  <si>
    <t xml:space="preserve">Lietuvos sporto universiteto krepšinio, didžioji ir mažoji gimnastikos salės </t>
  </si>
  <si>
    <t xml:space="preserve">Lietuvos sporto universitetas </t>
  </si>
  <si>
    <t>Jankaus g.</t>
  </si>
  <si>
    <t>Aušros g</t>
  </si>
  <si>
    <t>42C</t>
  </si>
  <si>
    <t>Kauno Kristaus Prisikėlimo bažnyčia</t>
  </si>
  <si>
    <t>Iš viso</t>
  </si>
  <si>
    <t>Kolektyvinės apsaugos statinių poreikis, kv. m</t>
  </si>
  <si>
    <t>G = 0,25 x GB + GV + GN + GS, kur:</t>
  </si>
  <si>
    <t>G – savivaldybės gyventojų skaičius, kuriam nustatytas kolektyvinės apsaugos statinių poreikis</t>
  </si>
  <si>
    <t>0,25 – 25 procentai</t>
  </si>
  <si>
    <t xml:space="preserve">GB – bendras nuolatinių savivaldybės gyventojų skaičius
</t>
  </si>
  <si>
    <t xml:space="preserve">GV – nuolatinių savivaldybės gyventojų – vaikų iki 7 metų skaičius
</t>
  </si>
  <si>
    <t xml:space="preserve">GN – nuolatinių savivaldybės gyventojų – asmenų su negalia skaičius
</t>
  </si>
  <si>
    <t xml:space="preserve">GS – nuolatinių savivaldybės gyventojų – socialinę globą gaunančių senyvo amžiaus asmenų skaičius
</t>
  </si>
  <si>
    <t>Pritaikymas asmenims su negalia</t>
  </si>
  <si>
    <t>__________________________</t>
  </si>
  <si>
    <t xml:space="preserve">Perkūno al. </t>
  </si>
  <si>
    <t>Prezidento Valdo Adamkaus lengvosios atletikos maniežas</t>
  </si>
  <si>
    <t>,</t>
  </si>
  <si>
    <t>Kauno Algio Žikevičiaus saugaus vaiko mokykla</t>
  </si>
  <si>
    <t>Pastabos</t>
  </si>
  <si>
    <t>Kauno sporto mokykla „Startas“</t>
  </si>
  <si>
    <t>VšĮ Kauno jėzuitų gimnazija</t>
  </si>
  <si>
    <t>Kauno miesto poliklinikos Centro padalinys</t>
  </si>
  <si>
    <t>Kauno miesto poliklinikos Dainavos padalinys</t>
  </si>
  <si>
    <t>Kauno technologijo universiteto inžinerijos licėjus</t>
  </si>
  <si>
    <t>Kauno miesto poliklinikos Kalniečių padalinys</t>
  </si>
  <si>
    <t>Kauno miesto poliklinikos Šančių padalinys</t>
  </si>
  <si>
    <t>Kauno miesto poliklinikos Šilainių padalinys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</si>
  <si>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</si>
  <si>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</si>
  <si>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</si>
  <si>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</si>
  <si>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</si>
  <si>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</si>
  <si>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</si>
  <si>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</si>
  <si>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</si>
  <si>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</si>
  <si>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</si>
  <si>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</si>
  <si>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</si>
  <si>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</si>
  <si>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</si>
  <si>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</si>
  <si>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</si>
  <si>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</si>
  <si>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</si>
  <si>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</si>
  <si>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</si>
  <si>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</si>
  <si>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</si>
  <si>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</si>
  <si>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</si>
  <si>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</si>
  <si>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</si>
  <si>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</si>
  <si>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</si>
  <si>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</si>
  <si>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</si>
  <si>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</si>
  <si>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</si>
  <si>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</si>
  <si>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</si>
  <si>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</si>
  <si>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</si>
  <si>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</si>
  <si>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</si>
  <si>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</si>
  <si>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</si>
  <si>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</si>
  <si>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</si>
  <si>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</si>
  <si>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</si>
  <si>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</si>
  <si>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</si>
  <si>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</si>
  <si>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</si>
  <si>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</si>
  <si>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</si>
  <si>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</si>
  <si>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</si>
  <si>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</si>
  <si>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</si>
  <si>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</si>
  <si>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</si>
  <si>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</si>
  <si>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</si>
  <si>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</si>
  <si>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</si>
  <si>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</si>
  <si>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</si>
  <si>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</si>
  <si>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</si>
  <si>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</si>
  <si>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</si>
  <si>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</si>
  <si>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</si>
  <si>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</si>
  <si>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</si>
  <si>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</si>
  <si>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</si>
  <si>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</si>
  <si>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</si>
  <si>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</si>
  <si>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</si>
  <si>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</si>
  <si>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</si>
  <si>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</si>
  <si>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</si>
  <si>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</si>
  <si>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</si>
  <si>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</si>
  <si>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</si>
  <si>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</si>
  <si>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</si>
  <si>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</si>
  <si>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</si>
  <si>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</si>
  <si>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</si>
  <si>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</si>
  <si>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</si>
  <si>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</si>
  <si>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</si>
  <si>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</si>
  <si>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</si>
  <si>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</si>
  <si>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</si>
  <si>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</si>
  <si>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</si>
  <si>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</si>
  <si>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</si>
  <si>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</si>
  <si>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</si>
  <si>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</si>
  <si>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</si>
  <si>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</si>
  <si>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</si>
  <si>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</si>
  <si>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</si>
  <si>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</si>
  <si>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</si>
  <si>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</si>
  <si>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</si>
  <si>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</si>
  <si>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</si>
  <si>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</si>
  <si>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</si>
  <si>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</si>
  <si>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</si>
  <si>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</si>
  <si>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</si>
  <si>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</si>
  <si>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</si>
  <si>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</si>
  <si>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</si>
  <si>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</si>
  <si>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</si>
  <si>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</si>
  <si>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</si>
  <si>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</si>
  <si>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</si>
  <si>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</si>
  <si>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</si>
  <si>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</si>
  <si>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</si>
  <si>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</si>
  <si>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</si>
  <si>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</si>
  <si>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</si>
  <si>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</si>
  <si>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</si>
  <si>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</si>
  <si>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</si>
  <si>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</si>
  <si>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</si>
  <si>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</si>
  <si>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</si>
  <si>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</si>
  <si>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</si>
  <si>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</si>
  <si>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</si>
  <si>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</si>
  <si>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</si>
  <si>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</si>
  <si>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</si>
  <si>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</si>
  <si>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</si>
  <si>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</si>
  <si>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</si>
  <si>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</si>
  <si>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</si>
  <si>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</si>
  <si>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</si>
  <si>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</si>
  <si>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</si>
  <si>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</si>
  <si>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</si>
  <si>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</si>
  <si>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</si>
  <si>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</si>
  <si>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</si>
  <si>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</si>
  <si>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</si>
  <si>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</si>
  <si>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</si>
  <si>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</si>
  <si>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</si>
  <si>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</si>
  <si>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</si>
  <si>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</si>
  <si>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</si>
  <si>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</si>
  <si>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</si>
  <si>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</si>
  <si>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</si>
  <si>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</si>
  <si>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</si>
  <si>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</si>
  <si>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</si>
  <si>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</si>
  <si>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</si>
  <si>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</si>
  <si>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</si>
  <si>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</si>
  <si>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</si>
  <si>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</si>
  <si>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</si>
  <si>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</si>
  <si>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</si>
  <si>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</si>
  <si>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</si>
  <si>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</si>
  <si>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</si>
  <si>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</si>
  <si>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</si>
  <si>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</si>
  <si>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</si>
  <si>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</si>
  <si>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</si>
  <si>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</si>
  <si>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</si>
  <si>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</si>
  <si>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</si>
  <si>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</si>
  <si>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</si>
  <si>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</si>
  <si>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</si>
  <si>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</si>
  <si>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</si>
  <si>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Kauno Tirkiliškių mokykla-darželis</t>
  </si>
  <si>
    <t>Kauno Aleksoto lopšelis-darželis</t>
  </si>
  <si>
    <t>A. Purėno g.</t>
  </si>
  <si>
    <t>Vilijampolė</t>
  </si>
  <si>
    <t>Kauno „Aušros“ gimnazija</t>
  </si>
  <si>
    <t>Kauno „Žalgirio“ arena</t>
  </si>
  <si>
    <t>Kauno vaikų darželis „Dvarelis“</t>
  </si>
  <si>
    <t>Kauno tarptautinės gimnazijos Ikimokyklinio ugdymo skyrius</t>
  </si>
  <si>
    <t>VšĮ Kauno miesto poliklinika</t>
  </si>
  <si>
    <t>Kauno lopšelis-darželis „Klausutis“</t>
  </si>
  <si>
    <t>Kauno Montesori mokykla-darželis „Žiburėlis“</t>
  </si>
  <si>
    <t>Socialinės globos centras „Vija“</t>
  </si>
  <si>
    <t>Kauno lopšelis-darželis „Aviliukas“</t>
  </si>
  <si>
    <t>Kauno technologijos universiteto bendrabutis Nr. 13</t>
  </si>
  <si>
    <t>Kauno technologijos universiteto bendrabutis Nr. 14</t>
  </si>
  <si>
    <t>Kauno technologijos universiteto bendrabutis Nr. 15</t>
  </si>
  <si>
    <t>Lietuvos sveikatos mokslų universitetas bendrabutis Nr. 2</t>
  </si>
  <si>
    <t>Lietuvos sporto universiteto Alekso Stanislovaičio lengvosios atletikos maniežas</t>
  </si>
  <si>
    <t xml:space="preserve">Kauno ledo rūmai </t>
  </si>
  <si>
    <t xml:space="preserve">Kovo 11-osios g. </t>
  </si>
  <si>
    <t>Mokyklos pastatas</t>
  </si>
  <si>
    <t>Startas Arena</t>
  </si>
  <si>
    <t>Petrašiūnų–Gričiupio</t>
  </si>
  <si>
    <t xml:space="preserve">Centro–
Žaliakalnio </t>
  </si>
  <si>
    <t>Panemunės–Šančių</t>
  </si>
  <si>
    <t>Centro–
Žaliakalnio</t>
  </si>
  <si>
    <t xml:space="preserve">Žemosios Fredos </t>
  </si>
  <si>
    <t>Nemuno</t>
  </si>
  <si>
    <t>Kauno Valdorfo darželis „Šaltinėlis“</t>
  </si>
  <si>
    <t>Kauno lopšelis-darželis „Spragtukas“</t>
  </si>
  <si>
    <t>Vytauto Didžiojo universiteto klasikinio ugdymo licėjus</t>
  </si>
  <si>
    <t>Kauno Panemunės progimnazija</t>
  </si>
  <si>
    <t>222.</t>
  </si>
  <si>
    <t>223.</t>
  </si>
  <si>
    <t>KAUNO MIESTO SAVIVALDYBĖS KOLEKTYVINĖS APSAUGOS STATINIŲ IR JŲ POREIKIO SĄRAŠAS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</si>
</sst>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u/>
      <sz val="1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" fontId="2" fillId="2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2" fillId="2" borderId="6" xfId="1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 wrapText="1"/>
    </xf>
    <xf numFmtId="1" fontId="2" fillId="2" borderId="6" xfId="1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top"/>
    </xf>
    <xf numFmtId="0" fontId="2" fillId="2" borderId="16" xfId="0" applyFont="1" applyFill="1" applyBorder="1" applyAlignment="1">
      <alignment horizontal="center" vertical="top"/>
    </xf>
    <xf numFmtId="0" fontId="2" fillId="2" borderId="17" xfId="1" applyFont="1" applyFill="1" applyBorder="1" applyAlignment="1">
      <alignment horizontal="center" vertical="center" wrapText="1"/>
    </xf>
    <xf numFmtId="1" fontId="2" fillId="2" borderId="17" xfId="1" applyNumberFormat="1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 2" xfId="1" xr:uid="{00000000-0005-0000-0000-000002000000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710046</xdr:colOff>
      <xdr:row>0</xdr:row>
      <xdr:rowOff>0</xdr:rowOff>
    </xdr:from>
    <xdr:ext cx="3203863" cy="142009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624705" y="0"/>
          <a:ext cx="3203863" cy="14200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lt-LT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PATVIRTINTA</a:t>
          </a:r>
          <a:endParaRPr lang="lt-LT" sz="1200">
            <a:effectLst/>
          </a:endParaRPr>
        </a:p>
        <a:p>
          <a:r>
            <a:rPr lang="lt-LT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Kauno miesto savivaldybės mero</a:t>
          </a:r>
          <a:endParaRPr lang="lt-LT" sz="1200">
            <a:effectLst/>
          </a:endParaRPr>
        </a:p>
        <a:p>
          <a:r>
            <a:rPr lang="lt-LT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2024 m. gegužės 22 d. potvarkiu Nr. M‑595 </a:t>
          </a:r>
          <a:endParaRPr lang="lt-LT" sz="1200">
            <a:effectLst/>
          </a:endParaRPr>
        </a:p>
        <a:p>
          <a:r>
            <a:rPr lang="lt-LT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(Kauno miesto savivaldybės mero</a:t>
          </a:r>
          <a:endParaRPr lang="lt-LT" sz="1200">
            <a:effectLst/>
          </a:endParaRPr>
        </a:p>
        <a:p>
          <a:r>
            <a:rPr lang="lt-LT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2025 m.                  d.</a:t>
          </a:r>
          <a:endParaRPr lang="lt-LT" sz="1200">
            <a:effectLst/>
          </a:endParaRPr>
        </a:p>
        <a:p>
          <a:r>
            <a:rPr lang="lt-LT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potvarkio Nr.</a:t>
          </a:r>
          <a:r>
            <a:rPr lang="lt-LT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lt-LT" sz="1200">
            <a:effectLst/>
          </a:endParaRPr>
        </a:p>
        <a:p>
          <a:r>
            <a:rPr lang="lt-LT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redakcija)</a:t>
          </a:r>
          <a:endParaRPr lang="lt-LT" sz="1200">
            <a:latin typeface="+mn-lt"/>
            <a:cs typeface="Times New Roman" panose="02020603050405020304" pitchFamily="18" charset="0"/>
          </a:endParaRP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ntelė1" displayName="Lentelė1" ref="B9:N10" insertRowShift="1" totalsRowShown="0" headerRowDxfId="17" dataDxfId="15" headerRowBorderDxfId="16" tableBorderDxfId="14" totalsRowBorderDxfId="13" headerRowCellStyle="Normal 2 2" dataCellStyle="Normal 2 2">
  <tableColumns count="13">
    <tableColumn id="1" xr3:uid="{00000000-0010-0000-0000-000001000000}" name="Eil. Nr." dataDxfId="12"/>
    <tableColumn id="2" xr3:uid="{00000000-0010-0000-0000-000002000000}" name="Seniūnija" dataDxfId="11" dataCellStyle="Normal 2 2"/>
    <tableColumn id="3" xr3:uid="{00000000-0010-0000-0000-000003000000}" name="Gyvenvietė" dataDxfId="10" dataCellStyle="Normal 2 2"/>
    <tableColumn id="4" xr3:uid="{00000000-0010-0000-0000-000004000000}" name="Gatvė" dataDxfId="9" dataCellStyle="Normal 2 2"/>
    <tableColumn id="5" xr3:uid="{00000000-0010-0000-0000-000005000000}" name="Namo numeris" dataDxfId="8" dataCellStyle="Normal 2 2"/>
    <tableColumn id="6" xr3:uid="{00000000-0010-0000-0000-000006000000}" name="Statinio, patalpos, inžinerinio įrenginio ar kito objekto pavadinimas" dataDxfId="7" dataCellStyle="Normal 2 2"/>
    <tableColumn id="7" xr3:uid="{00000000-0010-0000-0000-000007000000}" name="Statinio, patalpos, inžinerinio įrenginio ar kito objekto valdytojas" dataDxfId="6" dataCellStyle="Normal 2 2"/>
    <tableColumn id="8" xr3:uid="{00000000-0010-0000-0000-000008000000}" name="Patalpų plotas,             kv. m" dataDxfId="5" dataCellStyle="Normal 2 2"/>
    <tableColumn id="9" xr3:uid="{00000000-0010-0000-0000-000009000000}" name="Galinčių pasislėpti  gyventojų skaičius (3,5 kv. m)" dataDxfId="4" dataCellStyle="Normal 2 2"/>
    <tableColumn id="10" xr3:uid="{00000000-0010-0000-0000-00000A000000}" name="Pritaikymas asmenims su negalia" dataDxfId="3" dataCellStyle="Normal 2 2"/>
    <tableColumn id="11" xr3:uid="{00000000-0010-0000-0000-00000B000000}" name="LKS koordinatė X" dataDxfId="2" dataCellStyle="Normal 2 2"/>
    <tableColumn id="12" xr3:uid="{00000000-0010-0000-0000-00000C000000}" name="LKS koordinatė Y" dataDxfId="1" dataCellStyle="Normal 2 2"/>
    <tableColumn id="13" xr3:uid="{00000000-0010-0000-0000-00000D000000}" name="Pastabo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69"/>
  <sheetViews>
    <sheetView tabSelected="1" topLeftCell="A226" zoomScaleNormal="100" workbookViewId="0">
      <selection activeCell="G240" sqref="G240"/>
    </sheetView>
  </sheetViews>
  <sheetFormatPr defaultRowHeight="15" x14ac:dyDescent="0.25"/>
  <cols>
    <col min="1" max="1" width="9.140625" style="7"/>
    <col min="2" max="2" width="8.140625" style="7" customWidth="1"/>
    <col min="3" max="3" width="10.42578125" style="7" customWidth="1"/>
    <col min="4" max="4" width="12.28515625" style="7" customWidth="1"/>
    <col min="5" max="5" width="18.85546875" style="7" customWidth="1"/>
    <col min="6" max="6" width="8" style="7" customWidth="1"/>
    <col min="7" max="8" width="34" style="7" customWidth="1"/>
    <col min="9" max="9" width="13.42578125" style="7" customWidth="1"/>
    <col min="10" max="10" width="16.42578125" style="7" customWidth="1"/>
    <col min="11" max="11" width="12.28515625" style="7" customWidth="1"/>
    <col min="12" max="12" width="17.28515625" style="7" customWidth="1"/>
    <col min="13" max="13" width="14.28515625" style="7" customWidth="1"/>
    <col min="14" max="14" width="10" style="7" customWidth="1"/>
    <col min="15" max="16384" width="9.140625" style="7"/>
  </cols>
  <sheetData>
    <row r="1" spans="1:15" ht="24.95" customHeight="1" x14ac:dyDescent="0.25"/>
    <row r="2" spans="1:15" ht="24.95" customHeight="1" x14ac:dyDescent="0.25">
      <c r="N2" s="8"/>
      <c r="O2" s="8"/>
    </row>
    <row r="3" spans="1:15" ht="24.95" customHeight="1" x14ac:dyDescent="0.25">
      <c r="N3" s="8"/>
    </row>
    <row r="4" spans="1:15" ht="24.95" customHeight="1" x14ac:dyDescent="0.25">
      <c r="N4" s="8"/>
      <c r="O4" s="9"/>
    </row>
    <row r="5" spans="1:15" ht="24.95" customHeight="1" x14ac:dyDescent="0.25">
      <c r="A5" s="10"/>
      <c r="B5" s="10"/>
      <c r="C5" s="10"/>
      <c r="D5" s="10"/>
      <c r="E5" s="10"/>
      <c r="F5" s="10"/>
      <c r="G5" s="10"/>
      <c r="H5" s="40"/>
      <c r="I5" s="40"/>
      <c r="J5" s="40"/>
      <c r="K5" s="40"/>
      <c r="L5" s="40"/>
      <c r="M5" s="40"/>
      <c r="N5" s="40"/>
    </row>
    <row r="6" spans="1:15" ht="24.95" customHeight="1" x14ac:dyDescent="0.25">
      <c r="A6" s="10"/>
      <c r="B6" s="10"/>
      <c r="C6" s="11"/>
      <c r="D6" s="11"/>
      <c r="E6" s="11"/>
      <c r="F6" s="11"/>
      <c r="G6" s="11" t="s">
        <v>671</v>
      </c>
      <c r="H6" s="10"/>
      <c r="I6" s="11"/>
      <c r="J6" s="12"/>
      <c r="K6" s="11"/>
      <c r="L6" s="10"/>
      <c r="M6" s="10"/>
      <c r="N6" s="10"/>
    </row>
    <row r="7" spans="1:15" ht="24.95" customHeight="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5" ht="24.95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5" ht="45" customHeight="1" x14ac:dyDescent="0.25">
      <c r="A9" s="10"/>
      <c r="B9" s="21" t="s">
        <v>0</v>
      </c>
      <c r="C9" s="22" t="s">
        <v>1</v>
      </c>
      <c r="D9" s="22" t="s">
        <v>2</v>
      </c>
      <c r="E9" s="22" t="s">
        <v>3</v>
      </c>
      <c r="F9" s="22" t="s">
        <v>4</v>
      </c>
      <c r="G9" s="22" t="s">
        <v>5</v>
      </c>
      <c r="H9" s="22" t="s">
        <v>6</v>
      </c>
      <c r="I9" s="22" t="s">
        <v>7</v>
      </c>
      <c r="J9" s="22" t="s">
        <v>8</v>
      </c>
      <c r="K9" s="22" t="s">
        <v>401</v>
      </c>
      <c r="L9" s="22" t="s">
        <v>9</v>
      </c>
      <c r="M9" s="22" t="s">
        <v>10</v>
      </c>
      <c r="N9" s="23" t="s">
        <v>407</v>
      </c>
    </row>
    <row r="10" spans="1:15" ht="15" customHeight="1" x14ac:dyDescent="0.25">
      <c r="A10" s="10"/>
      <c r="B10" s="35">
        <v>1</v>
      </c>
      <c r="C10" s="35">
        <v>2</v>
      </c>
      <c r="D10" s="35">
        <v>3</v>
      </c>
      <c r="E10" s="35">
        <v>4</v>
      </c>
      <c r="F10" s="35">
        <v>5</v>
      </c>
      <c r="G10" s="35">
        <v>6</v>
      </c>
      <c r="H10" s="35">
        <v>7</v>
      </c>
      <c r="I10" s="35">
        <v>8</v>
      </c>
      <c r="J10" s="35">
        <v>9</v>
      </c>
      <c r="K10" s="35">
        <v>10</v>
      </c>
      <c r="L10" s="35">
        <v>11</v>
      </c>
      <c r="M10" s="35">
        <v>12</v>
      </c>
      <c r="N10" s="36">
        <v>13</v>
      </c>
    </row>
    <row r="11" spans="1:15" ht="24.95" customHeight="1" x14ac:dyDescent="0.25">
      <c r="A11" s="10"/>
      <c r="B11" s="31" t="s">
        <v>416</v>
      </c>
      <c r="C11" s="32" t="s">
        <v>11</v>
      </c>
      <c r="D11" s="32" t="s">
        <v>12</v>
      </c>
      <c r="E11" s="32" t="s">
        <v>13</v>
      </c>
      <c r="F11" s="32">
        <v>35</v>
      </c>
      <c r="G11" s="32" t="s">
        <v>14</v>
      </c>
      <c r="H11" s="32" t="s">
        <v>15</v>
      </c>
      <c r="I11" s="33">
        <v>300</v>
      </c>
      <c r="J11" s="33">
        <f t="shared" ref="J11" si="0">I11/3.5</f>
        <v>85.714285714285708</v>
      </c>
      <c r="K11" s="33" t="s">
        <v>16</v>
      </c>
      <c r="L11" s="32">
        <v>6083563</v>
      </c>
      <c r="M11" s="32">
        <v>493548</v>
      </c>
      <c r="N11" s="34"/>
    </row>
    <row r="12" spans="1:15" ht="24.95" customHeight="1" x14ac:dyDescent="0.25">
      <c r="A12" s="10"/>
      <c r="B12" s="24" t="s">
        <v>417</v>
      </c>
      <c r="C12" s="1" t="s">
        <v>11</v>
      </c>
      <c r="D12" s="1" t="s">
        <v>17</v>
      </c>
      <c r="E12" s="1" t="s">
        <v>18</v>
      </c>
      <c r="F12" s="1">
        <v>19</v>
      </c>
      <c r="G12" s="1" t="s">
        <v>19</v>
      </c>
      <c r="H12" s="1" t="s">
        <v>19</v>
      </c>
      <c r="I12" s="1">
        <v>590</v>
      </c>
      <c r="J12" s="2">
        <f t="shared" ref="J12:J39" si="1">I12/3.5</f>
        <v>168.57142857142858</v>
      </c>
      <c r="K12" s="2" t="s">
        <v>16</v>
      </c>
      <c r="L12" s="1">
        <v>6081012</v>
      </c>
      <c r="M12" s="1">
        <v>493490</v>
      </c>
      <c r="N12" s="25"/>
    </row>
    <row r="13" spans="1:15" ht="24.95" customHeight="1" x14ac:dyDescent="0.25">
      <c r="A13" s="10"/>
      <c r="B13" s="24" t="s">
        <v>418</v>
      </c>
      <c r="C13" s="1" t="s">
        <v>11</v>
      </c>
      <c r="D13" s="1" t="s">
        <v>20</v>
      </c>
      <c r="E13" s="1" t="s">
        <v>21</v>
      </c>
      <c r="F13" s="1">
        <v>17</v>
      </c>
      <c r="G13" s="1" t="s">
        <v>638</v>
      </c>
      <c r="H13" s="1" t="s">
        <v>638</v>
      </c>
      <c r="I13" s="1">
        <v>2400</v>
      </c>
      <c r="J13" s="2">
        <f t="shared" si="1"/>
        <v>685.71428571428567</v>
      </c>
      <c r="K13" s="2" t="s">
        <v>16</v>
      </c>
      <c r="L13" s="1">
        <v>6083258</v>
      </c>
      <c r="M13" s="1">
        <v>493398</v>
      </c>
      <c r="N13" s="25"/>
    </row>
    <row r="14" spans="1:15" ht="24.95" customHeight="1" x14ac:dyDescent="0.25">
      <c r="A14" s="10"/>
      <c r="B14" s="24" t="s">
        <v>419</v>
      </c>
      <c r="C14" s="1" t="s">
        <v>11</v>
      </c>
      <c r="D14" s="1" t="s">
        <v>12</v>
      </c>
      <c r="E14" s="1" t="s">
        <v>23</v>
      </c>
      <c r="F14" s="1">
        <v>7</v>
      </c>
      <c r="G14" s="1" t="s">
        <v>24</v>
      </c>
      <c r="H14" s="1" t="s">
        <v>24</v>
      </c>
      <c r="I14" s="1">
        <v>2400</v>
      </c>
      <c r="J14" s="2">
        <f t="shared" si="1"/>
        <v>685.71428571428567</v>
      </c>
      <c r="K14" s="2" t="s">
        <v>25</v>
      </c>
      <c r="L14" s="1">
        <v>6083847</v>
      </c>
      <c r="M14" s="1">
        <v>492657</v>
      </c>
      <c r="N14" s="25"/>
    </row>
    <row r="15" spans="1:15" ht="24.95" customHeight="1" x14ac:dyDescent="0.25">
      <c r="A15" s="10"/>
      <c r="B15" s="24" t="s">
        <v>420</v>
      </c>
      <c r="C15" s="1" t="s">
        <v>11</v>
      </c>
      <c r="D15" s="1" t="s">
        <v>26</v>
      </c>
      <c r="E15" s="1" t="s">
        <v>27</v>
      </c>
      <c r="F15" s="1">
        <v>47</v>
      </c>
      <c r="G15" s="1" t="s">
        <v>28</v>
      </c>
      <c r="H15" s="1" t="s">
        <v>28</v>
      </c>
      <c r="I15" s="1">
        <v>1000</v>
      </c>
      <c r="J15" s="2">
        <f t="shared" si="1"/>
        <v>285.71428571428572</v>
      </c>
      <c r="K15" s="2" t="s">
        <v>16</v>
      </c>
      <c r="L15" s="1">
        <v>6080484</v>
      </c>
      <c r="M15" s="1">
        <v>491622</v>
      </c>
      <c r="N15" s="25"/>
    </row>
    <row r="16" spans="1:15" ht="24.95" customHeight="1" x14ac:dyDescent="0.25">
      <c r="A16" s="10"/>
      <c r="B16" s="24" t="s">
        <v>421</v>
      </c>
      <c r="C16" s="1" t="s">
        <v>11</v>
      </c>
      <c r="D16" s="1" t="s">
        <v>26</v>
      </c>
      <c r="E16" s="1" t="s">
        <v>29</v>
      </c>
      <c r="F16" s="1">
        <v>2</v>
      </c>
      <c r="G16" s="1" t="s">
        <v>637</v>
      </c>
      <c r="H16" s="1" t="s">
        <v>637</v>
      </c>
      <c r="I16" s="1">
        <v>360</v>
      </c>
      <c r="J16" s="2">
        <f t="shared" si="1"/>
        <v>102.85714285714286</v>
      </c>
      <c r="K16" s="2" t="s">
        <v>16</v>
      </c>
      <c r="L16" s="1">
        <v>6080424</v>
      </c>
      <c r="M16" s="1">
        <v>491560</v>
      </c>
      <c r="N16" s="25"/>
    </row>
    <row r="17" spans="1:14" ht="24.95" customHeight="1" x14ac:dyDescent="0.25">
      <c r="A17" s="10"/>
      <c r="B17" s="24" t="s">
        <v>422</v>
      </c>
      <c r="C17" s="1" t="s">
        <v>11</v>
      </c>
      <c r="D17" s="1" t="s">
        <v>30</v>
      </c>
      <c r="E17" s="1" t="s">
        <v>31</v>
      </c>
      <c r="F17" s="1">
        <v>9</v>
      </c>
      <c r="G17" s="1" t="s">
        <v>32</v>
      </c>
      <c r="H17" s="1" t="s">
        <v>643</v>
      </c>
      <c r="I17" s="1">
        <v>1500</v>
      </c>
      <c r="J17" s="2">
        <f t="shared" si="1"/>
        <v>428.57142857142856</v>
      </c>
      <c r="K17" s="2" t="s">
        <v>16</v>
      </c>
      <c r="L17" s="1">
        <v>6083827</v>
      </c>
      <c r="M17" s="1">
        <v>492832</v>
      </c>
      <c r="N17" s="25"/>
    </row>
    <row r="18" spans="1:14" ht="24.95" customHeight="1" x14ac:dyDescent="0.25">
      <c r="A18" s="10"/>
      <c r="B18" s="24" t="s">
        <v>423</v>
      </c>
      <c r="C18" s="1" t="s">
        <v>11</v>
      </c>
      <c r="D18" s="1" t="s">
        <v>17</v>
      </c>
      <c r="E18" s="1" t="s">
        <v>18</v>
      </c>
      <c r="F18" s="1">
        <v>31</v>
      </c>
      <c r="G18" s="1" t="s">
        <v>33</v>
      </c>
      <c r="H18" s="1" t="s">
        <v>22</v>
      </c>
      <c r="I18" s="1">
        <v>3300</v>
      </c>
      <c r="J18" s="2">
        <f t="shared" si="1"/>
        <v>942.85714285714289</v>
      </c>
      <c r="K18" s="2" t="s">
        <v>25</v>
      </c>
      <c r="L18" s="3" t="s">
        <v>34</v>
      </c>
      <c r="M18" s="1">
        <v>493586</v>
      </c>
      <c r="N18" s="25"/>
    </row>
    <row r="19" spans="1:14" ht="24.95" customHeight="1" x14ac:dyDescent="0.25">
      <c r="A19" s="10"/>
      <c r="B19" s="24" t="s">
        <v>424</v>
      </c>
      <c r="C19" s="1" t="s">
        <v>662</v>
      </c>
      <c r="D19" s="1" t="s">
        <v>35</v>
      </c>
      <c r="E19" s="1" t="s">
        <v>36</v>
      </c>
      <c r="F19" s="1">
        <v>27</v>
      </c>
      <c r="G19" s="1" t="s">
        <v>37</v>
      </c>
      <c r="H19" s="1" t="s">
        <v>37</v>
      </c>
      <c r="I19" s="2">
        <v>2000</v>
      </c>
      <c r="J19" s="2">
        <f t="shared" si="1"/>
        <v>571.42857142857144</v>
      </c>
      <c r="K19" s="2" t="s">
        <v>16</v>
      </c>
      <c r="L19" s="1">
        <v>6084827</v>
      </c>
      <c r="M19" s="1">
        <v>494199</v>
      </c>
      <c r="N19" s="25"/>
    </row>
    <row r="20" spans="1:14" ht="24.95" customHeight="1" x14ac:dyDescent="0.25">
      <c r="A20" s="10"/>
      <c r="B20" s="24" t="s">
        <v>425</v>
      </c>
      <c r="C20" s="1" t="s">
        <v>662</v>
      </c>
      <c r="D20" s="1" t="s">
        <v>35</v>
      </c>
      <c r="E20" s="1" t="s">
        <v>38</v>
      </c>
      <c r="F20" s="1">
        <v>1</v>
      </c>
      <c r="G20" s="1" t="s">
        <v>39</v>
      </c>
      <c r="H20" s="1" t="s">
        <v>40</v>
      </c>
      <c r="I20" s="2">
        <v>150</v>
      </c>
      <c r="J20" s="2">
        <f t="shared" si="1"/>
        <v>42.857142857142854</v>
      </c>
      <c r="K20" s="2" t="s">
        <v>16</v>
      </c>
      <c r="L20" s="1">
        <v>6084978</v>
      </c>
      <c r="M20" s="1">
        <v>495132</v>
      </c>
      <c r="N20" s="25"/>
    </row>
    <row r="21" spans="1:14" ht="24.95" customHeight="1" x14ac:dyDescent="0.25">
      <c r="A21" s="10"/>
      <c r="B21" s="24" t="s">
        <v>426</v>
      </c>
      <c r="C21" s="1" t="s">
        <v>662</v>
      </c>
      <c r="D21" s="1" t="s">
        <v>41</v>
      </c>
      <c r="E21" s="1" t="s">
        <v>42</v>
      </c>
      <c r="F21" s="1">
        <v>46</v>
      </c>
      <c r="G21" s="1" t="s">
        <v>43</v>
      </c>
      <c r="H21" s="1" t="s">
        <v>43</v>
      </c>
      <c r="I21" s="1">
        <v>6000</v>
      </c>
      <c r="J21" s="2">
        <f t="shared" si="1"/>
        <v>1714.2857142857142</v>
      </c>
      <c r="K21" s="2" t="s">
        <v>16</v>
      </c>
      <c r="L21" s="1">
        <v>6085140</v>
      </c>
      <c r="M21" s="1">
        <v>494363</v>
      </c>
      <c r="N21" s="25"/>
    </row>
    <row r="22" spans="1:14" ht="24.95" customHeight="1" x14ac:dyDescent="0.25">
      <c r="A22" s="10"/>
      <c r="B22" s="24" t="s">
        <v>427</v>
      </c>
      <c r="C22" s="1" t="s">
        <v>662</v>
      </c>
      <c r="D22" s="1" t="s">
        <v>35</v>
      </c>
      <c r="E22" s="1" t="s">
        <v>44</v>
      </c>
      <c r="F22" s="1">
        <v>95</v>
      </c>
      <c r="G22" s="1" t="s">
        <v>641</v>
      </c>
      <c r="H22" s="1" t="s">
        <v>641</v>
      </c>
      <c r="I22" s="1">
        <v>2700</v>
      </c>
      <c r="J22" s="2">
        <f t="shared" si="1"/>
        <v>771.42857142857144</v>
      </c>
      <c r="K22" s="2" t="s">
        <v>25</v>
      </c>
      <c r="L22" s="1">
        <v>6084618</v>
      </c>
      <c r="M22" s="1">
        <v>493816</v>
      </c>
      <c r="N22" s="25"/>
    </row>
    <row r="23" spans="1:14" ht="24.95" customHeight="1" x14ac:dyDescent="0.25">
      <c r="A23" s="10"/>
      <c r="B23" s="24" t="s">
        <v>428</v>
      </c>
      <c r="C23" s="1" t="s">
        <v>662</v>
      </c>
      <c r="D23" s="1" t="s">
        <v>35</v>
      </c>
      <c r="E23" s="1" t="s">
        <v>46</v>
      </c>
      <c r="F23" s="1">
        <v>25</v>
      </c>
      <c r="G23" s="1" t="s">
        <v>47</v>
      </c>
      <c r="H23" s="1" t="s">
        <v>47</v>
      </c>
      <c r="I23" s="2">
        <v>370</v>
      </c>
      <c r="J23" s="2">
        <f t="shared" si="1"/>
        <v>105.71428571428571</v>
      </c>
      <c r="K23" s="2" t="s">
        <v>16</v>
      </c>
      <c r="L23" s="1">
        <v>6084535</v>
      </c>
      <c r="M23" s="1">
        <v>493559</v>
      </c>
      <c r="N23" s="25"/>
    </row>
    <row r="24" spans="1:14" ht="24.95" customHeight="1" x14ac:dyDescent="0.25">
      <c r="A24" s="10"/>
      <c r="B24" s="24" t="s">
        <v>429</v>
      </c>
      <c r="C24" s="1" t="s">
        <v>662</v>
      </c>
      <c r="D24" s="1" t="s">
        <v>35</v>
      </c>
      <c r="E24" s="1" t="s">
        <v>48</v>
      </c>
      <c r="F24" s="1">
        <v>54</v>
      </c>
      <c r="G24" s="1" t="s">
        <v>644</v>
      </c>
      <c r="H24" s="1" t="s">
        <v>51</v>
      </c>
      <c r="I24" s="2">
        <v>1200</v>
      </c>
      <c r="J24" s="2">
        <f t="shared" si="1"/>
        <v>342.85714285714283</v>
      </c>
      <c r="K24" s="2" t="s">
        <v>16</v>
      </c>
      <c r="L24" s="1">
        <v>6084861</v>
      </c>
      <c r="M24" s="1">
        <v>494800</v>
      </c>
      <c r="N24" s="25"/>
    </row>
    <row r="25" spans="1:14" ht="24.95" customHeight="1" x14ac:dyDescent="0.25">
      <c r="A25" s="10"/>
      <c r="B25" s="24" t="s">
        <v>430</v>
      </c>
      <c r="C25" s="1" t="s">
        <v>662</v>
      </c>
      <c r="D25" s="1" t="s">
        <v>49</v>
      </c>
      <c r="E25" s="1" t="s">
        <v>50</v>
      </c>
      <c r="F25" s="1">
        <v>50</v>
      </c>
      <c r="G25" s="1" t="s">
        <v>51</v>
      </c>
      <c r="H25" s="1" t="s">
        <v>51</v>
      </c>
      <c r="I25" s="1">
        <v>4900</v>
      </c>
      <c r="J25" s="2">
        <f t="shared" si="1"/>
        <v>1400</v>
      </c>
      <c r="K25" s="2" t="s">
        <v>16</v>
      </c>
      <c r="L25" s="1">
        <v>6084270</v>
      </c>
      <c r="M25" s="1">
        <v>495218</v>
      </c>
      <c r="N25" s="25"/>
    </row>
    <row r="26" spans="1:14" ht="24.95" customHeight="1" x14ac:dyDescent="0.25">
      <c r="A26" s="10"/>
      <c r="B26" s="24" t="s">
        <v>431</v>
      </c>
      <c r="C26" s="1" t="s">
        <v>662</v>
      </c>
      <c r="D26" s="1" t="s">
        <v>52</v>
      </c>
      <c r="E26" s="1" t="s">
        <v>53</v>
      </c>
      <c r="F26" s="1">
        <v>4</v>
      </c>
      <c r="G26" s="1" t="s">
        <v>54</v>
      </c>
      <c r="H26" s="1" t="s">
        <v>54</v>
      </c>
      <c r="I26" s="2">
        <v>150</v>
      </c>
      <c r="J26" s="2">
        <f t="shared" si="1"/>
        <v>42.857142857142854</v>
      </c>
      <c r="K26" s="2" t="s">
        <v>16</v>
      </c>
      <c r="L26" s="1">
        <v>6084401</v>
      </c>
      <c r="M26" s="1">
        <v>493804</v>
      </c>
      <c r="N26" s="25"/>
    </row>
    <row r="27" spans="1:14" ht="24.95" customHeight="1" x14ac:dyDescent="0.25">
      <c r="A27" s="10"/>
      <c r="B27" s="24" t="s">
        <v>432</v>
      </c>
      <c r="C27" s="1" t="s">
        <v>662</v>
      </c>
      <c r="D27" s="1" t="s">
        <v>35</v>
      </c>
      <c r="E27" s="1" t="s">
        <v>55</v>
      </c>
      <c r="F27" s="1">
        <v>16</v>
      </c>
      <c r="G27" s="1" t="s">
        <v>56</v>
      </c>
      <c r="H27" s="1" t="s">
        <v>57</v>
      </c>
      <c r="I27" s="2">
        <v>3600</v>
      </c>
      <c r="J27" s="2">
        <f t="shared" si="1"/>
        <v>1028.5714285714287</v>
      </c>
      <c r="K27" s="2" t="s">
        <v>16</v>
      </c>
      <c r="L27" s="1">
        <v>6083377</v>
      </c>
      <c r="M27" s="1">
        <v>495602</v>
      </c>
      <c r="N27" s="25"/>
    </row>
    <row r="28" spans="1:14" ht="24.95" customHeight="1" x14ac:dyDescent="0.25">
      <c r="A28" s="10"/>
      <c r="B28" s="24" t="s">
        <v>433</v>
      </c>
      <c r="C28" s="1" t="s">
        <v>662</v>
      </c>
      <c r="D28" s="1" t="s">
        <v>35</v>
      </c>
      <c r="E28" s="1" t="s">
        <v>44</v>
      </c>
      <c r="F28" s="1">
        <v>33</v>
      </c>
      <c r="G28" s="1" t="s">
        <v>58</v>
      </c>
      <c r="H28" s="1" t="s">
        <v>58</v>
      </c>
      <c r="I28" s="2">
        <v>150</v>
      </c>
      <c r="J28" s="2">
        <f t="shared" si="1"/>
        <v>42.857142857142854</v>
      </c>
      <c r="K28" s="2" t="s">
        <v>16</v>
      </c>
      <c r="L28" s="1">
        <v>6084542</v>
      </c>
      <c r="M28" s="1">
        <v>494777</v>
      </c>
      <c r="N28" s="25"/>
    </row>
    <row r="29" spans="1:14" ht="24.95" customHeight="1" x14ac:dyDescent="0.25">
      <c r="A29" s="10"/>
      <c r="B29" s="24" t="s">
        <v>434</v>
      </c>
      <c r="C29" s="1" t="s">
        <v>662</v>
      </c>
      <c r="D29" s="1" t="s">
        <v>35</v>
      </c>
      <c r="E29" s="1" t="s">
        <v>59</v>
      </c>
      <c r="F29" s="1">
        <v>53</v>
      </c>
      <c r="G29" s="1" t="s">
        <v>60</v>
      </c>
      <c r="H29" s="1" t="s">
        <v>58</v>
      </c>
      <c r="I29" s="2">
        <v>150</v>
      </c>
      <c r="J29" s="2">
        <f t="shared" si="1"/>
        <v>42.857142857142854</v>
      </c>
      <c r="K29" s="2" t="s">
        <v>16</v>
      </c>
      <c r="L29" s="1">
        <v>6084388</v>
      </c>
      <c r="M29" s="1">
        <v>494466</v>
      </c>
      <c r="N29" s="25"/>
    </row>
    <row r="30" spans="1:14" ht="24.95" customHeight="1" x14ac:dyDescent="0.25">
      <c r="A30" s="10"/>
      <c r="B30" s="24" t="s">
        <v>435</v>
      </c>
      <c r="C30" s="1" t="s">
        <v>662</v>
      </c>
      <c r="D30" s="1" t="s">
        <v>52</v>
      </c>
      <c r="E30" s="1" t="s">
        <v>61</v>
      </c>
      <c r="F30" s="1">
        <v>9</v>
      </c>
      <c r="G30" s="1" t="s">
        <v>62</v>
      </c>
      <c r="H30" s="1" t="s">
        <v>409</v>
      </c>
      <c r="I30" s="2">
        <v>370</v>
      </c>
      <c r="J30" s="2">
        <f t="shared" si="1"/>
        <v>105.71428571428571</v>
      </c>
      <c r="K30" s="2" t="s">
        <v>16</v>
      </c>
      <c r="L30" s="1">
        <v>6084458</v>
      </c>
      <c r="M30" s="1">
        <v>492673</v>
      </c>
      <c r="N30" s="25"/>
    </row>
    <row r="31" spans="1:14" ht="24.95" customHeight="1" x14ac:dyDescent="0.25">
      <c r="A31" s="10"/>
      <c r="B31" s="24" t="s">
        <v>436</v>
      </c>
      <c r="C31" s="1" t="s">
        <v>662</v>
      </c>
      <c r="D31" s="1" t="s">
        <v>35</v>
      </c>
      <c r="E31" s="1" t="s">
        <v>46</v>
      </c>
      <c r="F31" s="1">
        <v>6</v>
      </c>
      <c r="G31" s="1" t="s">
        <v>63</v>
      </c>
      <c r="H31" s="1" t="s">
        <v>64</v>
      </c>
      <c r="I31" s="2">
        <v>300</v>
      </c>
      <c r="J31" s="2">
        <f t="shared" si="1"/>
        <v>85.714285714285708</v>
      </c>
      <c r="K31" s="2" t="s">
        <v>16</v>
      </c>
      <c r="L31" s="1">
        <v>6084576</v>
      </c>
      <c r="M31" s="1">
        <v>493740</v>
      </c>
      <c r="N31" s="25"/>
    </row>
    <row r="32" spans="1:14" ht="24.95" customHeight="1" x14ac:dyDescent="0.25">
      <c r="A32" s="10"/>
      <c r="B32" s="24" t="s">
        <v>437</v>
      </c>
      <c r="C32" s="1" t="s">
        <v>662</v>
      </c>
      <c r="D32" s="1" t="s">
        <v>35</v>
      </c>
      <c r="E32" s="1" t="s">
        <v>59</v>
      </c>
      <c r="F32" s="1">
        <v>85</v>
      </c>
      <c r="G32" s="1" t="s">
        <v>65</v>
      </c>
      <c r="H32" s="1" t="s">
        <v>64</v>
      </c>
      <c r="I32" s="2">
        <v>900</v>
      </c>
      <c r="J32" s="2">
        <f t="shared" si="1"/>
        <v>257.14285714285717</v>
      </c>
      <c r="K32" s="2" t="s">
        <v>16</v>
      </c>
      <c r="L32" s="3" t="s">
        <v>66</v>
      </c>
      <c r="M32" s="1">
        <v>494008</v>
      </c>
      <c r="N32" s="25"/>
    </row>
    <row r="33" spans="1:14" ht="24.95" customHeight="1" x14ac:dyDescent="0.25">
      <c r="A33" s="10"/>
      <c r="B33" s="24" t="s">
        <v>438</v>
      </c>
      <c r="C33" s="1" t="s">
        <v>662</v>
      </c>
      <c r="D33" s="1" t="s">
        <v>35</v>
      </c>
      <c r="E33" s="1" t="s">
        <v>45</v>
      </c>
      <c r="F33" s="1">
        <v>30</v>
      </c>
      <c r="G33" s="1" t="s">
        <v>67</v>
      </c>
      <c r="H33" s="1" t="s">
        <v>64</v>
      </c>
      <c r="I33" s="2">
        <v>670</v>
      </c>
      <c r="J33" s="2">
        <f t="shared" si="1"/>
        <v>191.42857142857142</v>
      </c>
      <c r="K33" s="2" t="s">
        <v>16</v>
      </c>
      <c r="L33" s="1">
        <v>6084336</v>
      </c>
      <c r="M33" s="1">
        <v>493998</v>
      </c>
      <c r="N33" s="25"/>
    </row>
    <row r="34" spans="1:14" ht="24.95" customHeight="1" x14ac:dyDescent="0.25">
      <c r="A34" s="10"/>
      <c r="B34" s="24" t="s">
        <v>439</v>
      </c>
      <c r="C34" s="1" t="s">
        <v>662</v>
      </c>
      <c r="D34" s="1" t="s">
        <v>35</v>
      </c>
      <c r="E34" s="1" t="s">
        <v>44</v>
      </c>
      <c r="F34" s="1">
        <v>54</v>
      </c>
      <c r="G34" s="1" t="s">
        <v>68</v>
      </c>
      <c r="H34" s="1" t="s">
        <v>68</v>
      </c>
      <c r="I34" s="2">
        <v>900</v>
      </c>
      <c r="J34" s="2">
        <f t="shared" si="1"/>
        <v>257.14285714285717</v>
      </c>
      <c r="K34" s="2" t="s">
        <v>16</v>
      </c>
      <c r="L34" s="1">
        <v>6084637</v>
      </c>
      <c r="M34" s="1">
        <v>494591</v>
      </c>
      <c r="N34" s="25"/>
    </row>
    <row r="35" spans="1:14" ht="24.95" customHeight="1" x14ac:dyDescent="0.25">
      <c r="A35" s="10"/>
      <c r="B35" s="24" t="s">
        <v>440</v>
      </c>
      <c r="C35" s="1" t="s">
        <v>662</v>
      </c>
      <c r="D35" s="1" t="s">
        <v>35</v>
      </c>
      <c r="E35" s="1" t="s">
        <v>69</v>
      </c>
      <c r="F35" s="1">
        <v>27</v>
      </c>
      <c r="G35" s="1" t="s">
        <v>70</v>
      </c>
      <c r="H35" s="1" t="s">
        <v>71</v>
      </c>
      <c r="I35" s="2">
        <v>150</v>
      </c>
      <c r="J35" s="2">
        <f t="shared" si="1"/>
        <v>42.857142857142854</v>
      </c>
      <c r="K35" s="2" t="s">
        <v>16</v>
      </c>
      <c r="L35" s="1">
        <v>6085022</v>
      </c>
      <c r="M35" s="1">
        <v>493580</v>
      </c>
      <c r="N35" s="25"/>
    </row>
    <row r="36" spans="1:14" ht="24.95" customHeight="1" x14ac:dyDescent="0.25">
      <c r="A36" s="10"/>
      <c r="B36" s="24" t="s">
        <v>441</v>
      </c>
      <c r="C36" s="1" t="s">
        <v>662</v>
      </c>
      <c r="D36" s="1" t="s">
        <v>52</v>
      </c>
      <c r="E36" s="1" t="s">
        <v>72</v>
      </c>
      <c r="F36" s="1">
        <v>15</v>
      </c>
      <c r="G36" s="1" t="s">
        <v>73</v>
      </c>
      <c r="H36" s="1" t="s">
        <v>71</v>
      </c>
      <c r="I36" s="2">
        <v>225</v>
      </c>
      <c r="J36" s="2">
        <f t="shared" si="1"/>
        <v>64.285714285714292</v>
      </c>
      <c r="K36" s="2" t="s">
        <v>16</v>
      </c>
      <c r="L36" s="1">
        <v>6084380</v>
      </c>
      <c r="M36" s="1">
        <v>492986</v>
      </c>
      <c r="N36" s="25"/>
    </row>
    <row r="37" spans="1:14" ht="24.95" customHeight="1" x14ac:dyDescent="0.25">
      <c r="A37" s="10"/>
      <c r="B37" s="24" t="s">
        <v>442</v>
      </c>
      <c r="C37" s="1" t="s">
        <v>662</v>
      </c>
      <c r="D37" s="1" t="s">
        <v>35</v>
      </c>
      <c r="E37" s="1" t="s">
        <v>74</v>
      </c>
      <c r="F37" s="1">
        <v>41</v>
      </c>
      <c r="G37" s="1" t="s">
        <v>75</v>
      </c>
      <c r="H37" s="1" t="s">
        <v>71</v>
      </c>
      <c r="I37" s="2">
        <v>225</v>
      </c>
      <c r="J37" s="2">
        <f t="shared" si="1"/>
        <v>64.285714285714292</v>
      </c>
      <c r="K37" s="2" t="s">
        <v>16</v>
      </c>
      <c r="L37" s="1">
        <v>6084677</v>
      </c>
      <c r="M37" s="1">
        <v>494943</v>
      </c>
      <c r="N37" s="25"/>
    </row>
    <row r="38" spans="1:14" ht="24.95" customHeight="1" x14ac:dyDescent="0.25">
      <c r="A38" s="10"/>
      <c r="B38" s="24" t="s">
        <v>443</v>
      </c>
      <c r="C38" s="1" t="s">
        <v>662</v>
      </c>
      <c r="D38" s="1" t="s">
        <v>52</v>
      </c>
      <c r="E38" s="1" t="s">
        <v>76</v>
      </c>
      <c r="F38" s="1">
        <v>3</v>
      </c>
      <c r="G38" s="1" t="s">
        <v>77</v>
      </c>
      <c r="H38" s="1" t="s">
        <v>77</v>
      </c>
      <c r="I38" s="1">
        <v>1526</v>
      </c>
      <c r="J38" s="2">
        <f t="shared" si="1"/>
        <v>436</v>
      </c>
      <c r="K38" s="2" t="s">
        <v>16</v>
      </c>
      <c r="L38" s="1">
        <v>6084579</v>
      </c>
      <c r="M38" s="1">
        <v>493312</v>
      </c>
      <c r="N38" s="25"/>
    </row>
    <row r="39" spans="1:14" ht="24.95" customHeight="1" x14ac:dyDescent="0.25">
      <c r="A39" s="10"/>
      <c r="B39" s="24" t="s">
        <v>444</v>
      </c>
      <c r="C39" s="1" t="s">
        <v>662</v>
      </c>
      <c r="D39" s="1" t="s">
        <v>52</v>
      </c>
      <c r="E39" s="1" t="s">
        <v>53</v>
      </c>
      <c r="F39" s="1">
        <v>23</v>
      </c>
      <c r="G39" s="1" t="s">
        <v>78</v>
      </c>
      <c r="H39" s="1" t="s">
        <v>79</v>
      </c>
      <c r="I39" s="2">
        <v>450</v>
      </c>
      <c r="J39" s="2">
        <f t="shared" si="1"/>
        <v>128.57142857142858</v>
      </c>
      <c r="K39" s="2" t="s">
        <v>16</v>
      </c>
      <c r="L39" s="1">
        <v>6084471</v>
      </c>
      <c r="M39" s="1">
        <v>493597</v>
      </c>
      <c r="N39" s="25"/>
    </row>
    <row r="40" spans="1:14" ht="24.95" customHeight="1" x14ac:dyDescent="0.25">
      <c r="A40" s="10"/>
      <c r="B40" s="24" t="s">
        <v>445</v>
      </c>
      <c r="C40" s="1" t="s">
        <v>662</v>
      </c>
      <c r="D40" s="1" t="s">
        <v>35</v>
      </c>
      <c r="E40" s="1" t="s">
        <v>80</v>
      </c>
      <c r="F40" s="1">
        <v>16</v>
      </c>
      <c r="G40" s="1" t="s">
        <v>81</v>
      </c>
      <c r="H40" s="1" t="s">
        <v>82</v>
      </c>
      <c r="I40" s="1">
        <v>300</v>
      </c>
      <c r="J40" s="2">
        <v>86</v>
      </c>
      <c r="K40" s="2" t="s">
        <v>16</v>
      </c>
      <c r="L40" s="1">
        <v>6084776</v>
      </c>
      <c r="M40" s="1">
        <v>495118</v>
      </c>
      <c r="N40" s="25"/>
    </row>
    <row r="41" spans="1:14" ht="24.95" customHeight="1" x14ac:dyDescent="0.25">
      <c r="A41" s="10"/>
      <c r="B41" s="24" t="s">
        <v>446</v>
      </c>
      <c r="C41" s="1" t="s">
        <v>662</v>
      </c>
      <c r="D41" s="1" t="s">
        <v>35</v>
      </c>
      <c r="E41" s="1" t="s">
        <v>50</v>
      </c>
      <c r="F41" s="1">
        <v>44</v>
      </c>
      <c r="G41" s="1" t="s">
        <v>83</v>
      </c>
      <c r="H41" s="1" t="s">
        <v>83</v>
      </c>
      <c r="I41" s="2">
        <v>220</v>
      </c>
      <c r="J41" s="2">
        <f t="shared" ref="J41:J72" si="2">I41/3.5</f>
        <v>62.857142857142854</v>
      </c>
      <c r="K41" s="2" t="s">
        <v>16</v>
      </c>
      <c r="L41" s="1">
        <v>6083911</v>
      </c>
      <c r="M41" s="1">
        <v>495199</v>
      </c>
      <c r="N41" s="25"/>
    </row>
    <row r="42" spans="1:14" ht="24.95" customHeight="1" x14ac:dyDescent="0.25">
      <c r="A42" s="10"/>
      <c r="B42" s="24" t="s">
        <v>447</v>
      </c>
      <c r="C42" s="1" t="s">
        <v>662</v>
      </c>
      <c r="D42" s="1" t="s">
        <v>52</v>
      </c>
      <c r="E42" s="1" t="s">
        <v>84</v>
      </c>
      <c r="F42" s="1">
        <v>12</v>
      </c>
      <c r="G42" s="1" t="s">
        <v>85</v>
      </c>
      <c r="H42" s="1" t="s">
        <v>85</v>
      </c>
      <c r="I42" s="1">
        <v>750</v>
      </c>
      <c r="J42" s="2">
        <f t="shared" si="2"/>
        <v>214.28571428571428</v>
      </c>
      <c r="K42" s="2" t="s">
        <v>16</v>
      </c>
      <c r="L42" s="1">
        <v>6084380</v>
      </c>
      <c r="M42" s="1">
        <v>493615</v>
      </c>
      <c r="N42" s="25"/>
    </row>
    <row r="43" spans="1:14" ht="24.95" customHeight="1" x14ac:dyDescent="0.25">
      <c r="A43" s="10"/>
      <c r="B43" s="24" t="s">
        <v>448</v>
      </c>
      <c r="C43" s="1" t="s">
        <v>662</v>
      </c>
      <c r="D43" s="1" t="s">
        <v>35</v>
      </c>
      <c r="E43" s="1" t="s">
        <v>86</v>
      </c>
      <c r="F43" s="1">
        <v>1</v>
      </c>
      <c r="G43" s="1" t="s">
        <v>87</v>
      </c>
      <c r="H43" s="1" t="s">
        <v>87</v>
      </c>
      <c r="I43" s="1">
        <v>2500</v>
      </c>
      <c r="J43" s="2">
        <f t="shared" si="2"/>
        <v>714.28571428571433</v>
      </c>
      <c r="K43" s="2" t="s">
        <v>25</v>
      </c>
      <c r="L43" s="1">
        <v>6084155</v>
      </c>
      <c r="M43" s="1">
        <v>495151</v>
      </c>
      <c r="N43" s="25"/>
    </row>
    <row r="44" spans="1:14" ht="24.95" customHeight="1" x14ac:dyDescent="0.25">
      <c r="A44" s="10"/>
      <c r="B44" s="24" t="s">
        <v>449</v>
      </c>
      <c r="C44" s="1" t="s">
        <v>662</v>
      </c>
      <c r="D44" s="1" t="s">
        <v>35</v>
      </c>
      <c r="E44" s="1" t="s">
        <v>44</v>
      </c>
      <c r="F44" s="1">
        <v>106</v>
      </c>
      <c r="G44" s="1" t="s">
        <v>88</v>
      </c>
      <c r="H44" s="1" t="s">
        <v>89</v>
      </c>
      <c r="I44" s="2">
        <v>450</v>
      </c>
      <c r="J44" s="2">
        <f t="shared" si="2"/>
        <v>128.57142857142858</v>
      </c>
      <c r="K44" s="2" t="s">
        <v>16</v>
      </c>
      <c r="L44" s="1">
        <v>6084670</v>
      </c>
      <c r="M44" s="1">
        <v>493837</v>
      </c>
      <c r="N44" s="25"/>
    </row>
    <row r="45" spans="1:14" ht="24.95" customHeight="1" x14ac:dyDescent="0.25">
      <c r="A45" s="10"/>
      <c r="B45" s="24" t="s">
        <v>450</v>
      </c>
      <c r="C45" s="1" t="s">
        <v>662</v>
      </c>
      <c r="D45" s="1" t="s">
        <v>49</v>
      </c>
      <c r="E45" s="1" t="s">
        <v>90</v>
      </c>
      <c r="F45" s="1">
        <v>39</v>
      </c>
      <c r="G45" s="1" t="s">
        <v>91</v>
      </c>
      <c r="H45" s="1" t="s">
        <v>91</v>
      </c>
      <c r="I45" s="2">
        <v>370</v>
      </c>
      <c r="J45" s="2">
        <f t="shared" si="2"/>
        <v>105.71428571428571</v>
      </c>
      <c r="K45" s="2" t="s">
        <v>16</v>
      </c>
      <c r="L45" s="1">
        <v>6083952</v>
      </c>
      <c r="M45" s="1">
        <v>495454</v>
      </c>
      <c r="N45" s="25"/>
    </row>
    <row r="46" spans="1:14" ht="24.95" customHeight="1" x14ac:dyDescent="0.25">
      <c r="A46" s="10"/>
      <c r="B46" s="24" t="s">
        <v>451</v>
      </c>
      <c r="C46" s="1" t="s">
        <v>662</v>
      </c>
      <c r="D46" s="1" t="s">
        <v>35</v>
      </c>
      <c r="E46" s="1" t="s">
        <v>90</v>
      </c>
      <c r="F46" s="1">
        <v>33</v>
      </c>
      <c r="G46" s="1" t="s">
        <v>666</v>
      </c>
      <c r="H46" s="1" t="s">
        <v>666</v>
      </c>
      <c r="I46" s="1">
        <v>590</v>
      </c>
      <c r="J46" s="2">
        <f t="shared" si="2"/>
        <v>168.57142857142858</v>
      </c>
      <c r="K46" s="2" t="s">
        <v>16</v>
      </c>
      <c r="L46" s="1">
        <v>6084058</v>
      </c>
      <c r="M46" s="1">
        <v>495474</v>
      </c>
      <c r="N46" s="25"/>
    </row>
    <row r="47" spans="1:14" ht="24.95" customHeight="1" x14ac:dyDescent="0.25">
      <c r="A47" s="10"/>
      <c r="B47" s="24" t="s">
        <v>452</v>
      </c>
      <c r="C47" s="1" t="s">
        <v>662</v>
      </c>
      <c r="D47" s="1" t="s">
        <v>35</v>
      </c>
      <c r="E47" s="1" t="s">
        <v>92</v>
      </c>
      <c r="F47" s="1">
        <v>12</v>
      </c>
      <c r="G47" s="1" t="s">
        <v>93</v>
      </c>
      <c r="H47" s="1" t="s">
        <v>93</v>
      </c>
      <c r="I47" s="2">
        <v>900</v>
      </c>
      <c r="J47" s="2">
        <f t="shared" si="2"/>
        <v>257.14285714285717</v>
      </c>
      <c r="K47" s="2" t="s">
        <v>16</v>
      </c>
      <c r="L47" s="1">
        <v>6084788</v>
      </c>
      <c r="M47" s="1">
        <v>493960</v>
      </c>
      <c r="N47" s="25"/>
    </row>
    <row r="48" spans="1:14" ht="24.95" customHeight="1" x14ac:dyDescent="0.25">
      <c r="A48" s="10"/>
      <c r="B48" s="24" t="s">
        <v>453</v>
      </c>
      <c r="C48" s="1" t="s">
        <v>662</v>
      </c>
      <c r="D48" s="1" t="s">
        <v>35</v>
      </c>
      <c r="E48" s="1" t="s">
        <v>44</v>
      </c>
      <c r="F48" s="1">
        <v>71</v>
      </c>
      <c r="G48" s="1" t="s">
        <v>94</v>
      </c>
      <c r="H48" s="1" t="s">
        <v>95</v>
      </c>
      <c r="I48" s="2">
        <v>1350</v>
      </c>
      <c r="J48" s="2">
        <f t="shared" si="2"/>
        <v>385.71428571428572</v>
      </c>
      <c r="K48" s="2" t="s">
        <v>16</v>
      </c>
      <c r="L48" s="1">
        <v>6084545</v>
      </c>
      <c r="M48" s="1">
        <v>494267</v>
      </c>
      <c r="N48" s="25"/>
    </row>
    <row r="49" spans="1:14" ht="24.95" customHeight="1" x14ac:dyDescent="0.25">
      <c r="A49" s="10"/>
      <c r="B49" s="24" t="s">
        <v>454</v>
      </c>
      <c r="C49" s="1" t="s">
        <v>662</v>
      </c>
      <c r="D49" s="1" t="s">
        <v>35</v>
      </c>
      <c r="E49" s="1" t="s">
        <v>59</v>
      </c>
      <c r="F49" s="1">
        <v>62</v>
      </c>
      <c r="G49" s="1" t="s">
        <v>96</v>
      </c>
      <c r="H49" s="1" t="s">
        <v>95</v>
      </c>
      <c r="I49" s="2">
        <v>370</v>
      </c>
      <c r="J49" s="2">
        <f t="shared" si="2"/>
        <v>105.71428571428571</v>
      </c>
      <c r="K49" s="2" t="s">
        <v>16</v>
      </c>
      <c r="L49" s="1">
        <v>6084473</v>
      </c>
      <c r="M49" s="1">
        <v>494294</v>
      </c>
      <c r="N49" s="25"/>
    </row>
    <row r="50" spans="1:14" ht="24.95" customHeight="1" x14ac:dyDescent="0.25">
      <c r="A50" s="10"/>
      <c r="B50" s="24" t="s">
        <v>455</v>
      </c>
      <c r="C50" s="1" t="s">
        <v>662</v>
      </c>
      <c r="D50" s="1" t="s">
        <v>35</v>
      </c>
      <c r="E50" s="1" t="s">
        <v>44</v>
      </c>
      <c r="F50" s="1" t="s">
        <v>97</v>
      </c>
      <c r="G50" s="1" t="s">
        <v>98</v>
      </c>
      <c r="H50" s="1" t="s">
        <v>98</v>
      </c>
      <c r="I50" s="2">
        <v>450</v>
      </c>
      <c r="J50" s="2">
        <f t="shared" si="2"/>
        <v>128.57142857142858</v>
      </c>
      <c r="K50" s="2" t="s">
        <v>16</v>
      </c>
      <c r="L50" s="1">
        <v>6084573</v>
      </c>
      <c r="M50" s="1">
        <v>494056</v>
      </c>
      <c r="N50" s="25"/>
    </row>
    <row r="51" spans="1:14" ht="24.95" customHeight="1" x14ac:dyDescent="0.25">
      <c r="A51" s="10"/>
      <c r="B51" s="24" t="s">
        <v>456</v>
      </c>
      <c r="C51" s="1" t="s">
        <v>662</v>
      </c>
      <c r="D51" s="1" t="s">
        <v>35</v>
      </c>
      <c r="E51" s="1" t="s">
        <v>44</v>
      </c>
      <c r="F51" s="1">
        <v>91</v>
      </c>
      <c r="G51" s="1" t="s">
        <v>99</v>
      </c>
      <c r="H51" s="1" t="s">
        <v>99</v>
      </c>
      <c r="I51" s="2">
        <v>1200</v>
      </c>
      <c r="J51" s="2">
        <f t="shared" si="2"/>
        <v>342.85714285714283</v>
      </c>
      <c r="K51" s="2" t="s">
        <v>16</v>
      </c>
      <c r="L51" s="1">
        <v>6084496</v>
      </c>
      <c r="M51" s="1">
        <v>493980</v>
      </c>
      <c r="N51" s="25"/>
    </row>
    <row r="52" spans="1:14" ht="24.95" customHeight="1" x14ac:dyDescent="0.25">
      <c r="A52" s="10"/>
      <c r="B52" s="24" t="s">
        <v>457</v>
      </c>
      <c r="C52" s="1" t="s">
        <v>662</v>
      </c>
      <c r="D52" s="1" t="s">
        <v>35</v>
      </c>
      <c r="E52" s="1" t="s">
        <v>80</v>
      </c>
      <c r="F52" s="1">
        <v>73</v>
      </c>
      <c r="G52" s="1" t="s">
        <v>100</v>
      </c>
      <c r="H52" s="1" t="s">
        <v>101</v>
      </c>
      <c r="I52" s="2">
        <v>2400</v>
      </c>
      <c r="J52" s="2">
        <f t="shared" si="2"/>
        <v>685.71428571428567</v>
      </c>
      <c r="K52" s="2" t="s">
        <v>16</v>
      </c>
      <c r="L52" s="1">
        <v>6084769</v>
      </c>
      <c r="M52" s="1">
        <v>494390</v>
      </c>
      <c r="N52" s="25"/>
    </row>
    <row r="53" spans="1:14" ht="24.95" customHeight="1" x14ac:dyDescent="0.25">
      <c r="A53" s="10"/>
      <c r="B53" s="24" t="s">
        <v>458</v>
      </c>
      <c r="C53" s="1" t="s">
        <v>662</v>
      </c>
      <c r="D53" s="1" t="s">
        <v>35</v>
      </c>
      <c r="E53" s="1" t="s">
        <v>74</v>
      </c>
      <c r="F53" s="1">
        <v>50</v>
      </c>
      <c r="G53" s="1" t="s">
        <v>102</v>
      </c>
      <c r="H53" s="1" t="s">
        <v>101</v>
      </c>
      <c r="I53" s="2">
        <v>7800</v>
      </c>
      <c r="J53" s="2">
        <f t="shared" si="2"/>
        <v>2228.5714285714284</v>
      </c>
      <c r="K53" s="2" t="s">
        <v>16</v>
      </c>
      <c r="L53" s="1">
        <v>6084763</v>
      </c>
      <c r="M53" s="1">
        <v>495021</v>
      </c>
      <c r="N53" s="25"/>
    </row>
    <row r="54" spans="1:14" ht="24.95" customHeight="1" x14ac:dyDescent="0.25">
      <c r="A54" s="10"/>
      <c r="B54" s="24" t="s">
        <v>459</v>
      </c>
      <c r="C54" s="1" t="s">
        <v>662</v>
      </c>
      <c r="D54" s="1" t="s">
        <v>35</v>
      </c>
      <c r="E54" s="1" t="s">
        <v>44</v>
      </c>
      <c r="F54" s="1">
        <v>13</v>
      </c>
      <c r="G54" s="1" t="s">
        <v>103</v>
      </c>
      <c r="H54" s="1" t="s">
        <v>101</v>
      </c>
      <c r="I54" s="2">
        <v>1500</v>
      </c>
      <c r="J54" s="2">
        <f t="shared" si="2"/>
        <v>428.57142857142856</v>
      </c>
      <c r="K54" s="2" t="s">
        <v>16</v>
      </c>
      <c r="L54" s="1">
        <v>6084521</v>
      </c>
      <c r="M54" s="1">
        <v>495135</v>
      </c>
      <c r="N54" s="25"/>
    </row>
    <row r="55" spans="1:14" ht="24.95" customHeight="1" x14ac:dyDescent="0.25">
      <c r="A55" s="10"/>
      <c r="B55" s="24" t="s">
        <v>460</v>
      </c>
      <c r="C55" s="1" t="s">
        <v>662</v>
      </c>
      <c r="D55" s="1" t="s">
        <v>35</v>
      </c>
      <c r="E55" s="1" t="s">
        <v>104</v>
      </c>
      <c r="F55" s="1">
        <v>37</v>
      </c>
      <c r="G55" s="1" t="s">
        <v>105</v>
      </c>
      <c r="H55" s="1" t="s">
        <v>101</v>
      </c>
      <c r="I55" s="2">
        <v>2200</v>
      </c>
      <c r="J55" s="2">
        <f t="shared" si="2"/>
        <v>628.57142857142856</v>
      </c>
      <c r="K55" s="2" t="s">
        <v>16</v>
      </c>
      <c r="L55" s="1">
        <v>6084784</v>
      </c>
      <c r="M55" s="1">
        <v>494707</v>
      </c>
      <c r="N55" s="25"/>
    </row>
    <row r="56" spans="1:14" ht="24.95" customHeight="1" x14ac:dyDescent="0.25">
      <c r="A56" s="10"/>
      <c r="B56" s="24" t="s">
        <v>461</v>
      </c>
      <c r="C56" s="1" t="s">
        <v>662</v>
      </c>
      <c r="D56" s="1" t="s">
        <v>35</v>
      </c>
      <c r="E56" s="1" t="s">
        <v>80</v>
      </c>
      <c r="F56" s="1">
        <v>2</v>
      </c>
      <c r="G56" s="1" t="s">
        <v>106</v>
      </c>
      <c r="H56" s="1" t="s">
        <v>106</v>
      </c>
      <c r="I56" s="2">
        <v>450</v>
      </c>
      <c r="J56" s="2">
        <f t="shared" si="2"/>
        <v>128.57142857142858</v>
      </c>
      <c r="K56" s="2" t="s">
        <v>16</v>
      </c>
      <c r="L56" s="1">
        <v>6084669</v>
      </c>
      <c r="M56" s="1">
        <v>495222</v>
      </c>
      <c r="N56" s="25"/>
    </row>
    <row r="57" spans="1:14" ht="24.95" customHeight="1" x14ac:dyDescent="0.25">
      <c r="A57" s="10"/>
      <c r="B57" s="24" t="s">
        <v>462</v>
      </c>
      <c r="C57" s="1" t="s">
        <v>662</v>
      </c>
      <c r="D57" s="1" t="s">
        <v>35</v>
      </c>
      <c r="E57" s="1" t="s">
        <v>104</v>
      </c>
      <c r="F57" s="1">
        <v>9</v>
      </c>
      <c r="G57" s="1" t="s">
        <v>107</v>
      </c>
      <c r="H57" s="1" t="s">
        <v>108</v>
      </c>
      <c r="I57" s="2">
        <v>450</v>
      </c>
      <c r="J57" s="2">
        <f t="shared" si="2"/>
        <v>128.57142857142858</v>
      </c>
      <c r="K57" s="2" t="s">
        <v>16</v>
      </c>
      <c r="L57" s="1">
        <v>6084251</v>
      </c>
      <c r="M57" s="1">
        <v>494653</v>
      </c>
      <c r="N57" s="25"/>
    </row>
    <row r="58" spans="1:14" ht="24.95" customHeight="1" x14ac:dyDescent="0.25">
      <c r="A58" s="10"/>
      <c r="B58" s="24" t="s">
        <v>463</v>
      </c>
      <c r="C58" s="1" t="s">
        <v>662</v>
      </c>
      <c r="D58" s="1" t="s">
        <v>52</v>
      </c>
      <c r="E58" s="1" t="s">
        <v>109</v>
      </c>
      <c r="F58" s="1">
        <v>1</v>
      </c>
      <c r="G58" s="1" t="s">
        <v>110</v>
      </c>
      <c r="H58" s="1" t="s">
        <v>111</v>
      </c>
      <c r="I58" s="2">
        <v>700</v>
      </c>
      <c r="J58" s="2">
        <f t="shared" si="2"/>
        <v>200</v>
      </c>
      <c r="K58" s="2" t="s">
        <v>16</v>
      </c>
      <c r="L58" s="1">
        <v>6084581</v>
      </c>
      <c r="M58" s="1">
        <v>492858</v>
      </c>
      <c r="N58" s="25"/>
    </row>
    <row r="59" spans="1:14" ht="24.95" customHeight="1" x14ac:dyDescent="0.25">
      <c r="A59" s="10"/>
      <c r="B59" s="24" t="s">
        <v>464</v>
      </c>
      <c r="C59" s="1" t="s">
        <v>662</v>
      </c>
      <c r="D59" s="1" t="s">
        <v>35</v>
      </c>
      <c r="E59" s="1" t="s">
        <v>74</v>
      </c>
      <c r="F59" s="1">
        <v>1</v>
      </c>
      <c r="G59" s="1" t="s">
        <v>112</v>
      </c>
      <c r="H59" s="1" t="s">
        <v>111</v>
      </c>
      <c r="I59" s="2">
        <v>175</v>
      </c>
      <c r="J59" s="2">
        <f t="shared" si="2"/>
        <v>50</v>
      </c>
      <c r="K59" s="2" t="s">
        <v>16</v>
      </c>
      <c r="L59" s="1">
        <v>6083756</v>
      </c>
      <c r="M59" s="1">
        <v>494881</v>
      </c>
      <c r="N59" s="25"/>
    </row>
    <row r="60" spans="1:14" ht="24.95" customHeight="1" x14ac:dyDescent="0.25">
      <c r="A60" s="10"/>
      <c r="B60" s="24" t="s">
        <v>465</v>
      </c>
      <c r="C60" s="1" t="s">
        <v>662</v>
      </c>
      <c r="D60" s="1" t="s">
        <v>35</v>
      </c>
      <c r="E60" s="1" t="s">
        <v>113</v>
      </c>
      <c r="F60" s="1">
        <v>14</v>
      </c>
      <c r="G60" s="1" t="s">
        <v>114</v>
      </c>
      <c r="H60" s="1" t="s">
        <v>111</v>
      </c>
      <c r="I60" s="2">
        <v>1439</v>
      </c>
      <c r="J60" s="2">
        <f t="shared" si="2"/>
        <v>411.14285714285717</v>
      </c>
      <c r="K60" s="2" t="s">
        <v>25</v>
      </c>
      <c r="L60" s="1">
        <v>6084561</v>
      </c>
      <c r="M60" s="1">
        <v>494953</v>
      </c>
      <c r="N60" s="25"/>
    </row>
    <row r="61" spans="1:14" ht="24.95" customHeight="1" x14ac:dyDescent="0.25">
      <c r="A61" s="10"/>
      <c r="B61" s="24" t="s">
        <v>466</v>
      </c>
      <c r="C61" s="1" t="s">
        <v>662</v>
      </c>
      <c r="D61" s="1" t="s">
        <v>52</v>
      </c>
      <c r="E61" s="1" t="s">
        <v>115</v>
      </c>
      <c r="F61" s="1">
        <v>3</v>
      </c>
      <c r="G61" s="1" t="s">
        <v>116</v>
      </c>
      <c r="H61" s="1" t="s">
        <v>111</v>
      </c>
      <c r="I61" s="2">
        <v>564.78</v>
      </c>
      <c r="J61" s="2">
        <f t="shared" si="2"/>
        <v>161.36571428571429</v>
      </c>
      <c r="K61" s="2" t="s">
        <v>16</v>
      </c>
      <c r="L61" s="1">
        <v>6084336</v>
      </c>
      <c r="M61" s="1">
        <v>492732</v>
      </c>
      <c r="N61" s="25"/>
    </row>
    <row r="62" spans="1:14" ht="24.95" customHeight="1" x14ac:dyDescent="0.25">
      <c r="A62" s="10"/>
      <c r="B62" s="24" t="s">
        <v>467</v>
      </c>
      <c r="C62" s="1" t="s">
        <v>662</v>
      </c>
      <c r="D62" s="1" t="s">
        <v>52</v>
      </c>
      <c r="E62" s="1" t="s">
        <v>117</v>
      </c>
      <c r="F62" s="1">
        <v>1</v>
      </c>
      <c r="G62" s="1" t="s">
        <v>118</v>
      </c>
      <c r="H62" s="1" t="s">
        <v>111</v>
      </c>
      <c r="I62" s="2">
        <v>150</v>
      </c>
      <c r="J62" s="2">
        <f t="shared" si="2"/>
        <v>42.857142857142854</v>
      </c>
      <c r="K62" s="2" t="s">
        <v>16</v>
      </c>
      <c r="L62" s="1">
        <v>6084651</v>
      </c>
      <c r="M62" s="1">
        <v>492697</v>
      </c>
      <c r="N62" s="25"/>
    </row>
    <row r="63" spans="1:14" ht="24.95" customHeight="1" x14ac:dyDescent="0.25">
      <c r="A63" s="10"/>
      <c r="B63" s="24" t="s">
        <v>468</v>
      </c>
      <c r="C63" s="1" t="s">
        <v>662</v>
      </c>
      <c r="D63" s="1" t="s">
        <v>52</v>
      </c>
      <c r="E63" s="1" t="s">
        <v>72</v>
      </c>
      <c r="F63" s="1">
        <v>8</v>
      </c>
      <c r="G63" s="1" t="s">
        <v>119</v>
      </c>
      <c r="H63" s="1" t="s">
        <v>120</v>
      </c>
      <c r="I63" s="2">
        <v>300</v>
      </c>
      <c r="J63" s="2">
        <f t="shared" si="2"/>
        <v>85.714285714285708</v>
      </c>
      <c r="K63" s="2" t="s">
        <v>16</v>
      </c>
      <c r="L63" s="1">
        <v>6084395</v>
      </c>
      <c r="M63" s="1">
        <v>492878</v>
      </c>
      <c r="N63" s="25"/>
    </row>
    <row r="64" spans="1:14" ht="24.95" customHeight="1" x14ac:dyDescent="0.25">
      <c r="A64" s="10"/>
      <c r="B64" s="24" t="s">
        <v>469</v>
      </c>
      <c r="C64" s="1" t="s">
        <v>662</v>
      </c>
      <c r="D64" s="1" t="s">
        <v>35</v>
      </c>
      <c r="E64" s="1" t="s">
        <v>80</v>
      </c>
      <c r="F64" s="1">
        <v>64</v>
      </c>
      <c r="G64" s="1" t="s">
        <v>121</v>
      </c>
      <c r="H64" s="1" t="s">
        <v>121</v>
      </c>
      <c r="I64" s="2">
        <v>750</v>
      </c>
      <c r="J64" s="2">
        <f t="shared" si="2"/>
        <v>214.28571428571428</v>
      </c>
      <c r="K64" s="2" t="s">
        <v>25</v>
      </c>
      <c r="L64" s="1">
        <v>6084871</v>
      </c>
      <c r="M64" s="1">
        <v>494326</v>
      </c>
      <c r="N64" s="25"/>
    </row>
    <row r="65" spans="1:14" ht="24.95" customHeight="1" x14ac:dyDescent="0.25">
      <c r="A65" s="10"/>
      <c r="B65" s="24" t="s">
        <v>470</v>
      </c>
      <c r="C65" s="1" t="s">
        <v>662</v>
      </c>
      <c r="D65" s="1" t="s">
        <v>35</v>
      </c>
      <c r="E65" s="1" t="s">
        <v>122</v>
      </c>
      <c r="F65" s="1">
        <v>28</v>
      </c>
      <c r="G65" s="1" t="s">
        <v>123</v>
      </c>
      <c r="H65" s="1" t="s">
        <v>123</v>
      </c>
      <c r="I65" s="2">
        <v>1200</v>
      </c>
      <c r="J65" s="2">
        <f t="shared" si="2"/>
        <v>342.85714285714283</v>
      </c>
      <c r="K65" s="2" t="s">
        <v>16</v>
      </c>
      <c r="L65" s="1">
        <v>6084701</v>
      </c>
      <c r="M65" s="1">
        <v>494489</v>
      </c>
      <c r="N65" s="25"/>
    </row>
    <row r="66" spans="1:14" ht="24.95" customHeight="1" x14ac:dyDescent="0.25">
      <c r="A66" s="10"/>
      <c r="B66" s="24" t="s">
        <v>471</v>
      </c>
      <c r="C66" s="1" t="s">
        <v>662</v>
      </c>
      <c r="D66" s="1" t="s">
        <v>35</v>
      </c>
      <c r="E66" s="1" t="s">
        <v>50</v>
      </c>
      <c r="F66" s="1">
        <v>79</v>
      </c>
      <c r="G66" s="1" t="s">
        <v>124</v>
      </c>
      <c r="H66" s="1" t="s">
        <v>125</v>
      </c>
      <c r="I66" s="2">
        <v>970</v>
      </c>
      <c r="J66" s="2">
        <f t="shared" si="2"/>
        <v>277.14285714285717</v>
      </c>
      <c r="K66" s="2" t="s">
        <v>25</v>
      </c>
      <c r="L66" s="1">
        <v>6084336</v>
      </c>
      <c r="M66" s="1">
        <v>495176</v>
      </c>
      <c r="N66" s="25"/>
    </row>
    <row r="67" spans="1:14" ht="24.95" customHeight="1" x14ac:dyDescent="0.25">
      <c r="A67" s="10"/>
      <c r="B67" s="24" t="s">
        <v>472</v>
      </c>
      <c r="C67" s="1" t="s">
        <v>662</v>
      </c>
      <c r="D67" s="1" t="s">
        <v>35</v>
      </c>
      <c r="E67" s="1" t="s">
        <v>104</v>
      </c>
      <c r="F67" s="1">
        <v>4</v>
      </c>
      <c r="G67" s="1" t="s">
        <v>410</v>
      </c>
      <c r="H67" s="1" t="s">
        <v>645</v>
      </c>
      <c r="I67" s="2">
        <v>2100</v>
      </c>
      <c r="J67" s="2">
        <f t="shared" si="2"/>
        <v>600</v>
      </c>
      <c r="K67" s="2" t="s">
        <v>16</v>
      </c>
      <c r="L67" s="1">
        <v>6084171</v>
      </c>
      <c r="M67" s="1">
        <v>494702</v>
      </c>
      <c r="N67" s="25"/>
    </row>
    <row r="68" spans="1:14" ht="24.95" customHeight="1" x14ac:dyDescent="0.25">
      <c r="A68" s="10"/>
      <c r="B68" s="24" t="s">
        <v>473</v>
      </c>
      <c r="C68" s="1" t="s">
        <v>660</v>
      </c>
      <c r="D68" s="1" t="s">
        <v>348</v>
      </c>
      <c r="E68" s="1" t="s">
        <v>349</v>
      </c>
      <c r="F68" s="1">
        <v>78</v>
      </c>
      <c r="G68" s="1" t="s">
        <v>350</v>
      </c>
      <c r="H68" s="1" t="s">
        <v>350</v>
      </c>
      <c r="I68" s="1">
        <v>1544</v>
      </c>
      <c r="J68" s="2">
        <f t="shared" si="2"/>
        <v>441.14285714285717</v>
      </c>
      <c r="K68" s="2" t="s">
        <v>25</v>
      </c>
      <c r="L68" s="1">
        <v>6085273</v>
      </c>
      <c r="M68" s="1">
        <v>495743</v>
      </c>
      <c r="N68" s="25"/>
    </row>
    <row r="69" spans="1:14" ht="24.95" customHeight="1" x14ac:dyDescent="0.25">
      <c r="A69" s="10"/>
      <c r="B69" s="24" t="s">
        <v>474</v>
      </c>
      <c r="C69" s="1" t="s">
        <v>660</v>
      </c>
      <c r="D69" s="1" t="s">
        <v>348</v>
      </c>
      <c r="E69" s="1" t="s">
        <v>351</v>
      </c>
      <c r="F69" s="1">
        <v>3</v>
      </c>
      <c r="G69" s="1" t="s">
        <v>352</v>
      </c>
      <c r="H69" s="1" t="s">
        <v>352</v>
      </c>
      <c r="I69" s="1">
        <v>6000</v>
      </c>
      <c r="J69" s="2">
        <f t="shared" si="2"/>
        <v>1714.2857142857142</v>
      </c>
      <c r="K69" s="2" t="s">
        <v>25</v>
      </c>
      <c r="L69" s="1">
        <v>6085177</v>
      </c>
      <c r="M69" s="1">
        <v>494821</v>
      </c>
      <c r="N69" s="25"/>
    </row>
    <row r="70" spans="1:14" ht="24.95" customHeight="1" x14ac:dyDescent="0.25">
      <c r="A70" s="10"/>
      <c r="B70" s="24" t="s">
        <v>475</v>
      </c>
      <c r="C70" s="1" t="s">
        <v>660</v>
      </c>
      <c r="D70" s="1" t="s">
        <v>348</v>
      </c>
      <c r="E70" s="1" t="s">
        <v>353</v>
      </c>
      <c r="F70" s="1">
        <v>15</v>
      </c>
      <c r="G70" s="1" t="s">
        <v>354</v>
      </c>
      <c r="H70" s="1" t="s">
        <v>71</v>
      </c>
      <c r="I70" s="2">
        <v>300</v>
      </c>
      <c r="J70" s="2">
        <f t="shared" si="2"/>
        <v>85.714285714285708</v>
      </c>
      <c r="K70" s="2" t="s">
        <v>16</v>
      </c>
      <c r="L70" s="1">
        <v>6085365</v>
      </c>
      <c r="M70" s="1">
        <v>495648</v>
      </c>
      <c r="N70" s="25"/>
    </row>
    <row r="71" spans="1:14" ht="24.95" customHeight="1" x14ac:dyDescent="0.25">
      <c r="A71" s="10"/>
      <c r="B71" s="24" t="s">
        <v>476</v>
      </c>
      <c r="C71" s="1" t="s">
        <v>660</v>
      </c>
      <c r="D71" s="1" t="s">
        <v>348</v>
      </c>
      <c r="E71" s="1" t="s">
        <v>355</v>
      </c>
      <c r="F71" s="1" t="s">
        <v>356</v>
      </c>
      <c r="G71" s="1" t="s">
        <v>357</v>
      </c>
      <c r="H71" s="1" t="s">
        <v>111</v>
      </c>
      <c r="I71" s="2">
        <v>1094</v>
      </c>
      <c r="J71" s="2">
        <f t="shared" si="2"/>
        <v>312.57142857142856</v>
      </c>
      <c r="K71" s="2" t="s">
        <v>16</v>
      </c>
      <c r="L71" s="1">
        <v>6085202</v>
      </c>
      <c r="M71" s="1">
        <v>494691</v>
      </c>
      <c r="N71" s="25"/>
    </row>
    <row r="72" spans="1:14" ht="24.95" customHeight="1" x14ac:dyDescent="0.25">
      <c r="A72" s="10"/>
      <c r="B72" s="24" t="s">
        <v>477</v>
      </c>
      <c r="C72" s="1" t="s">
        <v>660</v>
      </c>
      <c r="D72" s="1" t="s">
        <v>358</v>
      </c>
      <c r="E72" s="1" t="s">
        <v>359</v>
      </c>
      <c r="F72" s="1">
        <v>17</v>
      </c>
      <c r="G72" s="1" t="s">
        <v>360</v>
      </c>
      <c r="H72" s="1" t="s">
        <v>360</v>
      </c>
      <c r="I72" s="1">
        <v>1000</v>
      </c>
      <c r="J72" s="2">
        <f t="shared" si="2"/>
        <v>285.71428571428572</v>
      </c>
      <c r="K72" s="2" t="s">
        <v>16</v>
      </c>
      <c r="L72" s="1">
        <v>6084012</v>
      </c>
      <c r="M72" s="1">
        <v>495861</v>
      </c>
      <c r="N72" s="25"/>
    </row>
    <row r="73" spans="1:14" ht="24.95" customHeight="1" x14ac:dyDescent="0.25">
      <c r="A73" s="10"/>
      <c r="B73" s="24" t="s">
        <v>478</v>
      </c>
      <c r="C73" s="1" t="s">
        <v>660</v>
      </c>
      <c r="D73" s="1" t="s">
        <v>358</v>
      </c>
      <c r="E73" s="1" t="s">
        <v>135</v>
      </c>
      <c r="F73" s="1">
        <v>10</v>
      </c>
      <c r="G73" s="1" t="s">
        <v>361</v>
      </c>
      <c r="H73" s="1" t="s">
        <v>361</v>
      </c>
      <c r="I73" s="1">
        <v>1070</v>
      </c>
      <c r="J73" s="2">
        <f t="shared" ref="J73:J104" si="3">I73/3.5</f>
        <v>305.71428571428572</v>
      </c>
      <c r="K73" s="2" t="s">
        <v>16</v>
      </c>
      <c r="L73" s="1">
        <v>6086061</v>
      </c>
      <c r="M73" s="1">
        <v>496144</v>
      </c>
      <c r="N73" s="25"/>
    </row>
    <row r="74" spans="1:14" ht="24.95" customHeight="1" x14ac:dyDescent="0.25">
      <c r="A74" s="10"/>
      <c r="B74" s="24" t="s">
        <v>479</v>
      </c>
      <c r="C74" s="1" t="s">
        <v>660</v>
      </c>
      <c r="D74" s="1" t="s">
        <v>358</v>
      </c>
      <c r="E74" s="1" t="s">
        <v>362</v>
      </c>
      <c r="F74" s="1">
        <v>21</v>
      </c>
      <c r="G74" s="1" t="s">
        <v>368</v>
      </c>
      <c r="H74" s="1" t="s">
        <v>368</v>
      </c>
      <c r="I74" s="1">
        <v>950</v>
      </c>
      <c r="J74" s="2">
        <f t="shared" si="3"/>
        <v>271.42857142857144</v>
      </c>
      <c r="K74" s="2" t="s">
        <v>16</v>
      </c>
      <c r="L74" s="1">
        <v>6086943</v>
      </c>
      <c r="M74" s="1">
        <v>496149</v>
      </c>
      <c r="N74" s="25"/>
    </row>
    <row r="75" spans="1:14" ht="24.95" customHeight="1" x14ac:dyDescent="0.25">
      <c r="A75" s="10"/>
      <c r="B75" s="24" t="s">
        <v>480</v>
      </c>
      <c r="C75" s="1" t="s">
        <v>660</v>
      </c>
      <c r="D75" s="1" t="s">
        <v>358</v>
      </c>
      <c r="E75" s="1" t="s">
        <v>363</v>
      </c>
      <c r="F75" s="1">
        <v>7</v>
      </c>
      <c r="G75" s="1" t="s">
        <v>364</v>
      </c>
      <c r="H75" s="1" t="s">
        <v>364</v>
      </c>
      <c r="I75" s="1">
        <v>1000</v>
      </c>
      <c r="J75" s="2">
        <f t="shared" si="3"/>
        <v>285.71428571428572</v>
      </c>
      <c r="K75" s="2" t="s">
        <v>16</v>
      </c>
      <c r="L75" s="1">
        <v>6086666</v>
      </c>
      <c r="M75" s="1">
        <v>494819</v>
      </c>
      <c r="N75" s="25"/>
    </row>
    <row r="76" spans="1:14" ht="24.95" customHeight="1" x14ac:dyDescent="0.25">
      <c r="A76" s="10"/>
      <c r="B76" s="24" t="s">
        <v>481</v>
      </c>
      <c r="C76" s="1" t="s">
        <v>660</v>
      </c>
      <c r="D76" s="1" t="s">
        <v>348</v>
      </c>
      <c r="E76" s="1" t="s">
        <v>365</v>
      </c>
      <c r="F76" s="1" t="s">
        <v>366</v>
      </c>
      <c r="G76" s="1" t="s">
        <v>361</v>
      </c>
      <c r="H76" s="1" t="s">
        <v>361</v>
      </c>
      <c r="I76" s="1">
        <v>500</v>
      </c>
      <c r="J76" s="2">
        <f t="shared" si="3"/>
        <v>142.85714285714286</v>
      </c>
      <c r="K76" s="2" t="s">
        <v>16</v>
      </c>
      <c r="L76" s="1">
        <v>6086231</v>
      </c>
      <c r="M76" s="1">
        <v>495702</v>
      </c>
      <c r="N76" s="25"/>
    </row>
    <row r="77" spans="1:14" ht="24.95" customHeight="1" x14ac:dyDescent="0.25">
      <c r="A77" s="10"/>
      <c r="B77" s="24" t="s">
        <v>482</v>
      </c>
      <c r="C77" s="1" t="s">
        <v>660</v>
      </c>
      <c r="D77" s="1" t="s">
        <v>348</v>
      </c>
      <c r="E77" s="1" t="s">
        <v>367</v>
      </c>
      <c r="F77" s="1">
        <v>24</v>
      </c>
      <c r="G77" s="1" t="s">
        <v>368</v>
      </c>
      <c r="H77" s="1" t="s">
        <v>368</v>
      </c>
      <c r="I77" s="1">
        <v>1700</v>
      </c>
      <c r="J77" s="2">
        <f t="shared" si="3"/>
        <v>485.71428571428572</v>
      </c>
      <c r="K77" s="2" t="s">
        <v>16</v>
      </c>
      <c r="L77" s="1">
        <v>6087041</v>
      </c>
      <c r="M77" s="1">
        <v>496051</v>
      </c>
      <c r="N77" s="25"/>
    </row>
    <row r="78" spans="1:14" ht="24.95" customHeight="1" x14ac:dyDescent="0.25">
      <c r="A78" s="10"/>
      <c r="B78" s="24" t="s">
        <v>483</v>
      </c>
      <c r="C78" s="1" t="s">
        <v>660</v>
      </c>
      <c r="D78" s="1" t="s">
        <v>348</v>
      </c>
      <c r="E78" s="1" t="s">
        <v>369</v>
      </c>
      <c r="F78" s="1" t="s">
        <v>370</v>
      </c>
      <c r="G78" s="1" t="s">
        <v>371</v>
      </c>
      <c r="H78" s="1" t="s">
        <v>371</v>
      </c>
      <c r="I78" s="1">
        <v>1000</v>
      </c>
      <c r="J78" s="2">
        <f t="shared" si="3"/>
        <v>285.71428571428572</v>
      </c>
      <c r="K78" s="2" t="s">
        <v>16</v>
      </c>
      <c r="L78" s="1">
        <v>6085571</v>
      </c>
      <c r="M78" s="1">
        <v>496126</v>
      </c>
      <c r="N78" s="25"/>
    </row>
    <row r="79" spans="1:14" ht="24.95" customHeight="1" x14ac:dyDescent="0.25">
      <c r="A79" s="10"/>
      <c r="B79" s="24" t="s">
        <v>484</v>
      </c>
      <c r="C79" s="1" t="s">
        <v>660</v>
      </c>
      <c r="D79" s="1" t="s">
        <v>348</v>
      </c>
      <c r="E79" s="1" t="s">
        <v>69</v>
      </c>
      <c r="F79" s="1">
        <v>101</v>
      </c>
      <c r="G79" s="1" t="s">
        <v>649</v>
      </c>
      <c r="H79" s="1" t="s">
        <v>649</v>
      </c>
      <c r="I79" s="1">
        <v>1400</v>
      </c>
      <c r="J79" s="2">
        <f t="shared" si="3"/>
        <v>400</v>
      </c>
      <c r="K79" s="2" t="s">
        <v>16</v>
      </c>
      <c r="L79" s="1">
        <v>6085251</v>
      </c>
      <c r="M79" s="1">
        <v>494175</v>
      </c>
      <c r="N79" s="25"/>
    </row>
    <row r="80" spans="1:14" ht="24.95" customHeight="1" x14ac:dyDescent="0.25">
      <c r="A80" s="10"/>
      <c r="B80" s="24" t="s">
        <v>485</v>
      </c>
      <c r="C80" s="1" t="s">
        <v>660</v>
      </c>
      <c r="D80" s="1" t="s">
        <v>358</v>
      </c>
      <c r="E80" s="1" t="s">
        <v>180</v>
      </c>
      <c r="F80" s="1">
        <v>167</v>
      </c>
      <c r="G80" s="1" t="s">
        <v>372</v>
      </c>
      <c r="H80" s="1" t="s">
        <v>372</v>
      </c>
      <c r="I80" s="1">
        <v>1600</v>
      </c>
      <c r="J80" s="2">
        <f t="shared" si="3"/>
        <v>457.14285714285717</v>
      </c>
      <c r="K80" s="2" t="s">
        <v>16</v>
      </c>
      <c r="L80" s="1">
        <v>6086582</v>
      </c>
      <c r="M80" s="1">
        <v>495606</v>
      </c>
      <c r="N80" s="25"/>
    </row>
    <row r="81" spans="1:14" ht="24.95" customHeight="1" x14ac:dyDescent="0.25">
      <c r="A81" s="10"/>
      <c r="B81" s="24" t="s">
        <v>486</v>
      </c>
      <c r="C81" s="1" t="s">
        <v>660</v>
      </c>
      <c r="D81" s="1" t="s">
        <v>358</v>
      </c>
      <c r="E81" s="1" t="s">
        <v>135</v>
      </c>
      <c r="F81" s="1" t="s">
        <v>373</v>
      </c>
      <c r="G81" s="1" t="s">
        <v>374</v>
      </c>
      <c r="H81" s="1" t="s">
        <v>374</v>
      </c>
      <c r="I81" s="1">
        <v>620</v>
      </c>
      <c r="J81" s="2">
        <f t="shared" si="3"/>
        <v>177.14285714285714</v>
      </c>
      <c r="K81" s="2" t="s">
        <v>25</v>
      </c>
      <c r="L81" s="1">
        <v>6086097</v>
      </c>
      <c r="M81" s="1">
        <v>496059</v>
      </c>
      <c r="N81" s="25"/>
    </row>
    <row r="82" spans="1:14" ht="24.95" customHeight="1" x14ac:dyDescent="0.25">
      <c r="A82" s="10"/>
      <c r="B82" s="24" t="s">
        <v>487</v>
      </c>
      <c r="C82" s="1" t="s">
        <v>660</v>
      </c>
      <c r="D82" s="1" t="s">
        <v>348</v>
      </c>
      <c r="E82" s="1" t="s">
        <v>365</v>
      </c>
      <c r="F82" s="1">
        <v>35</v>
      </c>
      <c r="G82" s="1" t="s">
        <v>375</v>
      </c>
      <c r="H82" s="1" t="s">
        <v>375</v>
      </c>
      <c r="I82" s="2">
        <v>1100</v>
      </c>
      <c r="J82" s="2">
        <f t="shared" si="3"/>
        <v>314.28571428571428</v>
      </c>
      <c r="K82" s="2" t="s">
        <v>25</v>
      </c>
      <c r="L82" s="1">
        <v>6086405</v>
      </c>
      <c r="M82" s="1">
        <v>495442</v>
      </c>
      <c r="N82" s="25"/>
    </row>
    <row r="83" spans="1:14" ht="24.95" customHeight="1" x14ac:dyDescent="0.25">
      <c r="A83" s="10"/>
      <c r="B83" s="24" t="s">
        <v>488</v>
      </c>
      <c r="C83" s="1" t="s">
        <v>660</v>
      </c>
      <c r="D83" s="1" t="s">
        <v>348</v>
      </c>
      <c r="E83" s="1" t="s">
        <v>367</v>
      </c>
      <c r="F83" s="1">
        <v>13</v>
      </c>
      <c r="G83" s="1" t="s">
        <v>254</v>
      </c>
      <c r="H83" s="1" t="s">
        <v>254</v>
      </c>
      <c r="I83" s="1">
        <v>2900</v>
      </c>
      <c r="J83" s="2">
        <f t="shared" si="3"/>
        <v>828.57142857142856</v>
      </c>
      <c r="K83" s="2" t="s">
        <v>25</v>
      </c>
      <c r="L83" s="1">
        <v>6087123</v>
      </c>
      <c r="M83" s="1">
        <v>495898</v>
      </c>
      <c r="N83" s="25"/>
    </row>
    <row r="84" spans="1:14" ht="24.95" customHeight="1" x14ac:dyDescent="0.25">
      <c r="A84" s="10"/>
      <c r="B84" s="24" t="s">
        <v>489</v>
      </c>
      <c r="C84" s="1" t="s">
        <v>660</v>
      </c>
      <c r="D84" s="1" t="s">
        <v>358</v>
      </c>
      <c r="E84" s="1" t="s">
        <v>42</v>
      </c>
      <c r="F84" s="1" t="s">
        <v>376</v>
      </c>
      <c r="G84" s="1" t="s">
        <v>377</v>
      </c>
      <c r="H84" s="1" t="s">
        <v>377</v>
      </c>
      <c r="I84" s="1">
        <v>300</v>
      </c>
      <c r="J84" s="2">
        <f t="shared" si="3"/>
        <v>85.714285714285708</v>
      </c>
      <c r="K84" s="2" t="s">
        <v>16</v>
      </c>
      <c r="L84" s="1">
        <v>6085813</v>
      </c>
      <c r="M84" s="1">
        <v>495181</v>
      </c>
      <c r="N84" s="25"/>
    </row>
    <row r="85" spans="1:14" ht="24.95" customHeight="1" x14ac:dyDescent="0.25">
      <c r="A85" s="10"/>
      <c r="B85" s="24" t="s">
        <v>490</v>
      </c>
      <c r="C85" s="1" t="s">
        <v>660</v>
      </c>
      <c r="D85" s="1" t="s">
        <v>348</v>
      </c>
      <c r="E85" s="1" t="s">
        <v>378</v>
      </c>
      <c r="F85" s="1">
        <v>7</v>
      </c>
      <c r="G85" s="1" t="s">
        <v>377</v>
      </c>
      <c r="H85" s="1" t="s">
        <v>377</v>
      </c>
      <c r="I85" s="2">
        <v>300</v>
      </c>
      <c r="J85" s="2">
        <f t="shared" si="3"/>
        <v>85.714285714285708</v>
      </c>
      <c r="K85" s="2" t="s">
        <v>16</v>
      </c>
      <c r="L85" s="1">
        <v>6085613</v>
      </c>
      <c r="M85" s="1">
        <v>494734</v>
      </c>
      <c r="N85" s="25"/>
    </row>
    <row r="86" spans="1:14" ht="24.95" customHeight="1" x14ac:dyDescent="0.25">
      <c r="A86" s="10"/>
      <c r="B86" s="24" t="s">
        <v>491</v>
      </c>
      <c r="C86" s="1" t="s">
        <v>660</v>
      </c>
      <c r="D86" s="1" t="s">
        <v>348</v>
      </c>
      <c r="E86" s="1" t="s">
        <v>379</v>
      </c>
      <c r="F86" s="1">
        <v>8</v>
      </c>
      <c r="G86" s="1" t="s">
        <v>377</v>
      </c>
      <c r="H86" s="1" t="s">
        <v>377</v>
      </c>
      <c r="I86" s="2">
        <v>300</v>
      </c>
      <c r="J86" s="2">
        <f t="shared" si="3"/>
        <v>85.714285714285708</v>
      </c>
      <c r="K86" s="2" t="s">
        <v>16</v>
      </c>
      <c r="L86" s="1">
        <v>6085125</v>
      </c>
      <c r="M86" s="1">
        <v>494483</v>
      </c>
      <c r="N86" s="25"/>
    </row>
    <row r="87" spans="1:14" ht="24.95" customHeight="1" x14ac:dyDescent="0.25">
      <c r="A87" s="10"/>
      <c r="B87" s="24" t="s">
        <v>492</v>
      </c>
      <c r="C87" s="1" t="s">
        <v>660</v>
      </c>
      <c r="D87" s="1" t="s">
        <v>348</v>
      </c>
      <c r="E87" s="1" t="s">
        <v>380</v>
      </c>
      <c r="F87" s="1">
        <v>15</v>
      </c>
      <c r="G87" s="1" t="s">
        <v>381</v>
      </c>
      <c r="H87" s="1" t="s">
        <v>381</v>
      </c>
      <c r="I87" s="1">
        <v>4300</v>
      </c>
      <c r="J87" s="2">
        <f t="shared" si="3"/>
        <v>1228.5714285714287</v>
      </c>
      <c r="K87" s="2" t="s">
        <v>25</v>
      </c>
      <c r="L87" s="1">
        <v>6085713</v>
      </c>
      <c r="M87" s="1">
        <v>494899</v>
      </c>
      <c r="N87" s="25"/>
    </row>
    <row r="88" spans="1:14" ht="24.95" customHeight="1" x14ac:dyDescent="0.25">
      <c r="A88" s="10"/>
      <c r="B88" s="24" t="s">
        <v>493</v>
      </c>
      <c r="C88" s="1" t="s">
        <v>660</v>
      </c>
      <c r="D88" s="1" t="s">
        <v>348</v>
      </c>
      <c r="E88" s="1" t="s">
        <v>382</v>
      </c>
      <c r="F88" s="1" t="s">
        <v>383</v>
      </c>
      <c r="G88" s="1" t="s">
        <v>650</v>
      </c>
      <c r="H88" s="1" t="s">
        <v>101</v>
      </c>
      <c r="I88" s="2">
        <v>2500</v>
      </c>
      <c r="J88" s="2">
        <f t="shared" si="3"/>
        <v>714.28571428571433</v>
      </c>
      <c r="K88" s="2" t="s">
        <v>16</v>
      </c>
      <c r="L88" s="1">
        <v>6085203</v>
      </c>
      <c r="M88" s="1">
        <v>496100</v>
      </c>
      <c r="N88" s="25"/>
    </row>
    <row r="89" spans="1:14" ht="24.95" customHeight="1" x14ac:dyDescent="0.25">
      <c r="A89" s="10"/>
      <c r="B89" s="24" t="s">
        <v>494</v>
      </c>
      <c r="C89" s="1" t="s">
        <v>660</v>
      </c>
      <c r="D89" s="1" t="s">
        <v>348</v>
      </c>
      <c r="E89" s="1" t="s">
        <v>382</v>
      </c>
      <c r="F89" s="1">
        <v>25</v>
      </c>
      <c r="G89" s="1" t="s">
        <v>651</v>
      </c>
      <c r="H89" s="1" t="s">
        <v>101</v>
      </c>
      <c r="I89" s="2">
        <v>2500</v>
      </c>
      <c r="J89" s="2">
        <f t="shared" si="3"/>
        <v>714.28571428571433</v>
      </c>
      <c r="K89" s="2" t="s">
        <v>16</v>
      </c>
      <c r="L89" s="1">
        <v>6085142</v>
      </c>
      <c r="M89" s="1">
        <v>496048</v>
      </c>
      <c r="N89" s="25"/>
    </row>
    <row r="90" spans="1:14" ht="24.95" customHeight="1" x14ac:dyDescent="0.25">
      <c r="A90" s="10"/>
      <c r="B90" s="24" t="s">
        <v>495</v>
      </c>
      <c r="C90" s="1" t="s">
        <v>660</v>
      </c>
      <c r="D90" s="1" t="s">
        <v>348</v>
      </c>
      <c r="E90" s="1" t="s">
        <v>382</v>
      </c>
      <c r="F90" s="1" t="s">
        <v>384</v>
      </c>
      <c r="G90" s="1" t="s">
        <v>652</v>
      </c>
      <c r="H90" s="1" t="s">
        <v>101</v>
      </c>
      <c r="I90" s="2">
        <v>2500</v>
      </c>
      <c r="J90" s="2">
        <f t="shared" si="3"/>
        <v>714.28571428571433</v>
      </c>
      <c r="K90" s="2" t="s">
        <v>16</v>
      </c>
      <c r="L90" s="1">
        <v>6085186</v>
      </c>
      <c r="M90" s="1">
        <v>496182</v>
      </c>
      <c r="N90" s="25"/>
    </row>
    <row r="91" spans="1:14" ht="24.95" customHeight="1" x14ac:dyDescent="0.25">
      <c r="A91" s="10"/>
      <c r="B91" s="24" t="s">
        <v>496</v>
      </c>
      <c r="C91" s="1" t="s">
        <v>660</v>
      </c>
      <c r="D91" s="1" t="s">
        <v>348</v>
      </c>
      <c r="E91" s="1" t="s">
        <v>385</v>
      </c>
      <c r="F91" s="1">
        <v>6</v>
      </c>
      <c r="G91" s="1" t="s">
        <v>386</v>
      </c>
      <c r="H91" s="1" t="s">
        <v>387</v>
      </c>
      <c r="I91" s="2">
        <v>811</v>
      </c>
      <c r="J91" s="2">
        <f t="shared" si="3"/>
        <v>231.71428571428572</v>
      </c>
      <c r="K91" s="2" t="s">
        <v>16</v>
      </c>
      <c r="L91" s="1">
        <v>6084726</v>
      </c>
      <c r="M91" s="1">
        <v>495802</v>
      </c>
      <c r="N91" s="25"/>
    </row>
    <row r="92" spans="1:14" ht="24.95" customHeight="1" x14ac:dyDescent="0.25">
      <c r="A92" s="10"/>
      <c r="B92" s="24" t="s">
        <v>497</v>
      </c>
      <c r="C92" s="1" t="s">
        <v>660</v>
      </c>
      <c r="D92" s="1" t="s">
        <v>348</v>
      </c>
      <c r="E92" s="1" t="s">
        <v>388</v>
      </c>
      <c r="F92" s="1">
        <v>2</v>
      </c>
      <c r="G92" s="1" t="s">
        <v>653</v>
      </c>
      <c r="H92" s="1" t="s">
        <v>108</v>
      </c>
      <c r="I92" s="2">
        <v>900</v>
      </c>
      <c r="J92" s="2">
        <f t="shared" si="3"/>
        <v>257.14285714285717</v>
      </c>
      <c r="K92" s="2" t="s">
        <v>16</v>
      </c>
      <c r="L92" s="1">
        <v>6085467</v>
      </c>
      <c r="M92" s="1">
        <v>495680</v>
      </c>
      <c r="N92" s="25"/>
    </row>
    <row r="93" spans="1:14" ht="24.95" customHeight="1" x14ac:dyDescent="0.25">
      <c r="A93" s="10"/>
      <c r="B93" s="24" t="s">
        <v>498</v>
      </c>
      <c r="C93" s="1" t="s">
        <v>660</v>
      </c>
      <c r="D93" s="1" t="s">
        <v>348</v>
      </c>
      <c r="E93" s="1" t="s">
        <v>389</v>
      </c>
      <c r="F93" s="1">
        <v>42</v>
      </c>
      <c r="G93" s="1" t="s">
        <v>654</v>
      </c>
      <c r="H93" s="1" t="s">
        <v>387</v>
      </c>
      <c r="I93" s="2">
        <v>5481</v>
      </c>
      <c r="J93" s="2">
        <f t="shared" si="3"/>
        <v>1566</v>
      </c>
      <c r="K93" s="2" t="s">
        <v>16</v>
      </c>
      <c r="L93" s="1">
        <v>6085383</v>
      </c>
      <c r="M93" s="1">
        <v>495383</v>
      </c>
      <c r="N93" s="25"/>
    </row>
    <row r="94" spans="1:14" ht="24.95" customHeight="1" x14ac:dyDescent="0.25">
      <c r="A94" s="10"/>
      <c r="B94" s="24" t="s">
        <v>499</v>
      </c>
      <c r="C94" s="1" t="s">
        <v>660</v>
      </c>
      <c r="D94" s="1" t="s">
        <v>348</v>
      </c>
      <c r="E94" s="1" t="s">
        <v>351</v>
      </c>
      <c r="F94" s="1" t="s">
        <v>390</v>
      </c>
      <c r="G94" s="1" t="s">
        <v>658</v>
      </c>
      <c r="H94" s="1" t="s">
        <v>408</v>
      </c>
      <c r="I94" s="2">
        <v>4385</v>
      </c>
      <c r="J94" s="2">
        <f t="shared" si="3"/>
        <v>1252.8571428571429</v>
      </c>
      <c r="K94" s="2" t="s">
        <v>16</v>
      </c>
      <c r="L94" s="1">
        <v>6085285</v>
      </c>
      <c r="M94" s="1">
        <v>495371</v>
      </c>
      <c r="N94" s="25"/>
    </row>
    <row r="95" spans="1:14" ht="24.95" customHeight="1" x14ac:dyDescent="0.25">
      <c r="A95" s="10"/>
      <c r="B95" s="24" t="s">
        <v>500</v>
      </c>
      <c r="C95" s="1" t="s">
        <v>660</v>
      </c>
      <c r="D95" s="1" t="s">
        <v>348</v>
      </c>
      <c r="E95" s="1" t="s">
        <v>403</v>
      </c>
      <c r="F95" s="1">
        <v>5</v>
      </c>
      <c r="G95" s="1" t="s">
        <v>404</v>
      </c>
      <c r="H95" s="1" t="s">
        <v>408</v>
      </c>
      <c r="I95" s="2">
        <v>9285</v>
      </c>
      <c r="J95" s="2">
        <f t="shared" si="3"/>
        <v>2652.8571428571427</v>
      </c>
      <c r="K95" s="2"/>
      <c r="L95" s="1">
        <v>6084567</v>
      </c>
      <c r="M95" s="1">
        <v>495836</v>
      </c>
      <c r="N95" s="26"/>
    </row>
    <row r="96" spans="1:14" ht="24.95" customHeight="1" x14ac:dyDescent="0.25">
      <c r="A96" s="10"/>
      <c r="B96" s="24" t="s">
        <v>501</v>
      </c>
      <c r="C96" s="1" t="s">
        <v>660</v>
      </c>
      <c r="D96" s="1" t="s">
        <v>348</v>
      </c>
      <c r="E96" s="1" t="s">
        <v>349</v>
      </c>
      <c r="F96" s="1">
        <v>4</v>
      </c>
      <c r="G96" s="1" t="s">
        <v>391</v>
      </c>
      <c r="H96" s="1" t="s">
        <v>111</v>
      </c>
      <c r="I96" s="2">
        <v>434</v>
      </c>
      <c r="J96" s="2">
        <f t="shared" si="3"/>
        <v>124</v>
      </c>
      <c r="K96" s="2" t="s">
        <v>16</v>
      </c>
      <c r="L96" s="1">
        <v>6085457</v>
      </c>
      <c r="M96" s="1">
        <v>494932</v>
      </c>
      <c r="N96" s="25"/>
    </row>
    <row r="97" spans="1:14" ht="24.95" customHeight="1" x14ac:dyDescent="0.25">
      <c r="A97" s="10"/>
      <c r="B97" s="24" t="s">
        <v>502</v>
      </c>
      <c r="C97" s="1" t="s">
        <v>660</v>
      </c>
      <c r="D97" s="1" t="s">
        <v>35</v>
      </c>
      <c r="E97" s="1" t="s">
        <v>86</v>
      </c>
      <c r="F97" s="1">
        <v>3</v>
      </c>
      <c r="G97" s="1" t="s">
        <v>657</v>
      </c>
      <c r="H97" s="1" t="s">
        <v>408</v>
      </c>
      <c r="I97" s="2">
        <v>4954.21</v>
      </c>
      <c r="J97" s="2">
        <f t="shared" si="3"/>
        <v>1415.4885714285715</v>
      </c>
      <c r="K97" s="2" t="s">
        <v>16</v>
      </c>
      <c r="L97" s="1">
        <v>6084105</v>
      </c>
      <c r="M97" s="1">
        <v>495089</v>
      </c>
      <c r="N97" s="25"/>
    </row>
    <row r="98" spans="1:14" ht="24.95" customHeight="1" x14ac:dyDescent="0.25">
      <c r="A98" s="10"/>
      <c r="B98" s="24" t="s">
        <v>503</v>
      </c>
      <c r="C98" s="1" t="s">
        <v>127</v>
      </c>
      <c r="D98" s="1" t="s">
        <v>128</v>
      </c>
      <c r="E98" s="1" t="s">
        <v>129</v>
      </c>
      <c r="F98" s="1">
        <v>42</v>
      </c>
      <c r="G98" s="1" t="s">
        <v>130</v>
      </c>
      <c r="H98" s="1" t="s">
        <v>130</v>
      </c>
      <c r="I98" s="1">
        <v>1800</v>
      </c>
      <c r="J98" s="2">
        <f t="shared" si="3"/>
        <v>514.28571428571433</v>
      </c>
      <c r="K98" s="2" t="s">
        <v>16</v>
      </c>
      <c r="L98" s="1">
        <v>6086961</v>
      </c>
      <c r="M98" s="1">
        <v>497400</v>
      </c>
      <c r="N98" s="25"/>
    </row>
    <row r="99" spans="1:14" ht="24.95" customHeight="1" x14ac:dyDescent="0.25">
      <c r="A99" s="10"/>
      <c r="B99" s="24" t="s">
        <v>504</v>
      </c>
      <c r="C99" s="1" t="s">
        <v>127</v>
      </c>
      <c r="D99" s="3" t="s">
        <v>128</v>
      </c>
      <c r="E99" s="1" t="s">
        <v>131</v>
      </c>
      <c r="F99" s="1">
        <v>22</v>
      </c>
      <c r="G99" s="1" t="s">
        <v>132</v>
      </c>
      <c r="H99" s="1" t="s">
        <v>71</v>
      </c>
      <c r="I99" s="2">
        <v>10000</v>
      </c>
      <c r="J99" s="2">
        <f t="shared" si="3"/>
        <v>2857.1428571428573</v>
      </c>
      <c r="K99" s="2" t="s">
        <v>16</v>
      </c>
      <c r="L99" s="1">
        <v>6087326</v>
      </c>
      <c r="M99" s="1">
        <v>498882</v>
      </c>
      <c r="N99" s="25"/>
    </row>
    <row r="100" spans="1:14" ht="24.95" customHeight="1" x14ac:dyDescent="0.25">
      <c r="A100" s="10"/>
      <c r="B100" s="24" t="s">
        <v>505</v>
      </c>
      <c r="C100" s="1" t="s">
        <v>133</v>
      </c>
      <c r="D100" s="1" t="s">
        <v>128</v>
      </c>
      <c r="E100" s="1" t="s">
        <v>129</v>
      </c>
      <c r="F100" s="1">
        <v>122</v>
      </c>
      <c r="G100" s="1" t="s">
        <v>134</v>
      </c>
      <c r="H100" s="1" t="s">
        <v>134</v>
      </c>
      <c r="I100" s="1">
        <v>1700</v>
      </c>
      <c r="J100" s="2">
        <f t="shared" si="3"/>
        <v>485.71428571428572</v>
      </c>
      <c r="K100" s="2" t="s">
        <v>16</v>
      </c>
      <c r="L100" s="1">
        <v>6088130</v>
      </c>
      <c r="M100" s="1">
        <v>498898</v>
      </c>
      <c r="N100" s="25"/>
    </row>
    <row r="101" spans="1:14" s="14" customFormat="1" ht="24.95" customHeight="1" x14ac:dyDescent="0.25">
      <c r="A101" s="13"/>
      <c r="B101" s="24" t="s">
        <v>506</v>
      </c>
      <c r="C101" s="1" t="s">
        <v>133</v>
      </c>
      <c r="D101" s="1" t="s">
        <v>128</v>
      </c>
      <c r="E101" s="1" t="s">
        <v>135</v>
      </c>
      <c r="F101" s="1">
        <v>51</v>
      </c>
      <c r="G101" s="1" t="s">
        <v>136</v>
      </c>
      <c r="H101" s="1" t="s">
        <v>22</v>
      </c>
      <c r="I101" s="1">
        <v>4600</v>
      </c>
      <c r="J101" s="2">
        <f t="shared" si="3"/>
        <v>1314.2857142857142</v>
      </c>
      <c r="K101" s="2" t="s">
        <v>25</v>
      </c>
      <c r="L101" s="1">
        <v>6086325</v>
      </c>
      <c r="M101" s="1">
        <v>497558</v>
      </c>
      <c r="N101" s="25"/>
    </row>
    <row r="102" spans="1:14" ht="24.95" customHeight="1" x14ac:dyDescent="0.25">
      <c r="A102" s="10"/>
      <c r="B102" s="24" t="s">
        <v>507</v>
      </c>
      <c r="C102" s="1" t="s">
        <v>133</v>
      </c>
      <c r="D102" s="1" t="s">
        <v>128</v>
      </c>
      <c r="E102" s="1" t="s">
        <v>129</v>
      </c>
      <c r="F102" s="1">
        <v>152</v>
      </c>
      <c r="G102" s="1" t="s">
        <v>137</v>
      </c>
      <c r="H102" s="1" t="s">
        <v>137</v>
      </c>
      <c r="I102" s="1">
        <v>1640</v>
      </c>
      <c r="J102" s="2">
        <f t="shared" si="3"/>
        <v>468.57142857142856</v>
      </c>
      <c r="K102" s="2" t="s">
        <v>25</v>
      </c>
      <c r="L102" s="1">
        <v>6087985</v>
      </c>
      <c r="M102" s="1">
        <v>499148</v>
      </c>
      <c r="N102" s="25"/>
    </row>
    <row r="103" spans="1:14" ht="24.95" customHeight="1" x14ac:dyDescent="0.25">
      <c r="A103" s="10"/>
      <c r="B103" s="24" t="s">
        <v>508</v>
      </c>
      <c r="C103" s="1" t="s">
        <v>133</v>
      </c>
      <c r="D103" s="1" t="s">
        <v>128</v>
      </c>
      <c r="E103" s="1" t="s">
        <v>129</v>
      </c>
      <c r="F103" s="1">
        <v>22</v>
      </c>
      <c r="G103" s="1" t="s">
        <v>138</v>
      </c>
      <c r="H103" s="1" t="s">
        <v>138</v>
      </c>
      <c r="I103" s="2">
        <v>5600</v>
      </c>
      <c r="J103" s="2">
        <f t="shared" si="3"/>
        <v>1600</v>
      </c>
      <c r="K103" s="2" t="s">
        <v>25</v>
      </c>
      <c r="L103" s="1">
        <v>6086482</v>
      </c>
      <c r="M103" s="1">
        <v>496748</v>
      </c>
      <c r="N103" s="25"/>
    </row>
    <row r="104" spans="1:14" ht="24.95" customHeight="1" x14ac:dyDescent="0.25">
      <c r="A104" s="10"/>
      <c r="B104" s="24" t="s">
        <v>509</v>
      </c>
      <c r="C104" s="1" t="s">
        <v>133</v>
      </c>
      <c r="D104" s="1" t="s">
        <v>128</v>
      </c>
      <c r="E104" s="1" t="s">
        <v>139</v>
      </c>
      <c r="F104" s="1" t="s">
        <v>140</v>
      </c>
      <c r="G104" s="1" t="s">
        <v>141</v>
      </c>
      <c r="H104" s="1" t="s">
        <v>111</v>
      </c>
      <c r="I104" s="2">
        <v>105</v>
      </c>
      <c r="J104" s="2">
        <f t="shared" si="3"/>
        <v>30</v>
      </c>
      <c r="K104" s="2" t="s">
        <v>16</v>
      </c>
      <c r="L104" s="1">
        <v>6087729</v>
      </c>
      <c r="M104" s="1">
        <v>499031</v>
      </c>
      <c r="N104" s="25"/>
    </row>
    <row r="105" spans="1:14" ht="24.95" customHeight="1" x14ac:dyDescent="0.25">
      <c r="A105" s="10"/>
      <c r="B105" s="24" t="s">
        <v>510</v>
      </c>
      <c r="C105" s="1" t="s">
        <v>133</v>
      </c>
      <c r="D105" s="1" t="s">
        <v>128</v>
      </c>
      <c r="E105" s="1" t="s">
        <v>129</v>
      </c>
      <c r="F105" s="1">
        <v>68</v>
      </c>
      <c r="G105" s="1" t="s">
        <v>142</v>
      </c>
      <c r="H105" s="1" t="s">
        <v>22</v>
      </c>
      <c r="I105" s="1">
        <v>3700</v>
      </c>
      <c r="J105" s="2">
        <f t="shared" ref="J105:J136" si="4">I105/3.5</f>
        <v>1057.1428571428571</v>
      </c>
      <c r="K105" s="2" t="s">
        <v>25</v>
      </c>
      <c r="L105" s="1">
        <v>6087521</v>
      </c>
      <c r="M105" s="1">
        <v>498170</v>
      </c>
      <c r="N105" s="25"/>
    </row>
    <row r="106" spans="1:14" ht="24.95" customHeight="1" x14ac:dyDescent="0.25">
      <c r="A106" s="10"/>
      <c r="B106" s="24" t="s">
        <v>511</v>
      </c>
      <c r="C106" s="1" t="s">
        <v>133</v>
      </c>
      <c r="D106" s="1" t="s">
        <v>128</v>
      </c>
      <c r="E106" s="1" t="s">
        <v>131</v>
      </c>
      <c r="F106" s="1">
        <v>20</v>
      </c>
      <c r="G106" s="1" t="s">
        <v>71</v>
      </c>
      <c r="H106" s="1" t="s">
        <v>71</v>
      </c>
      <c r="I106" s="2">
        <v>13000</v>
      </c>
      <c r="J106" s="2">
        <f t="shared" si="4"/>
        <v>3714.2857142857142</v>
      </c>
      <c r="K106" s="2" t="s">
        <v>25</v>
      </c>
      <c r="L106" s="1">
        <v>498990</v>
      </c>
      <c r="M106" s="1">
        <v>498990</v>
      </c>
      <c r="N106" s="25"/>
    </row>
    <row r="107" spans="1:14" ht="24.95" customHeight="1" x14ac:dyDescent="0.25">
      <c r="A107" s="10"/>
      <c r="B107" s="24" t="s">
        <v>512</v>
      </c>
      <c r="C107" s="1" t="s">
        <v>133</v>
      </c>
      <c r="D107" s="1" t="s">
        <v>128</v>
      </c>
      <c r="E107" s="1" t="s">
        <v>129</v>
      </c>
      <c r="F107" s="1">
        <v>52</v>
      </c>
      <c r="G107" s="1" t="s">
        <v>143</v>
      </c>
      <c r="H107" s="1" t="s">
        <v>143</v>
      </c>
      <c r="I107" s="1">
        <v>1800</v>
      </c>
      <c r="J107" s="2">
        <f t="shared" si="4"/>
        <v>514.28571428571433</v>
      </c>
      <c r="K107" s="2" t="s">
        <v>16</v>
      </c>
      <c r="L107" s="1">
        <v>6087149</v>
      </c>
      <c r="M107" s="1">
        <v>497664</v>
      </c>
      <c r="N107" s="25"/>
    </row>
    <row r="108" spans="1:14" ht="24.95" customHeight="1" x14ac:dyDescent="0.25">
      <c r="A108" s="10"/>
      <c r="B108" s="24" t="s">
        <v>513</v>
      </c>
      <c r="C108" s="1" t="s">
        <v>133</v>
      </c>
      <c r="D108" s="1" t="s">
        <v>128</v>
      </c>
      <c r="E108" s="1" t="s">
        <v>144</v>
      </c>
      <c r="F108" s="1">
        <v>21</v>
      </c>
      <c r="G108" s="1" t="s">
        <v>145</v>
      </c>
      <c r="H108" s="1" t="s">
        <v>145</v>
      </c>
      <c r="I108" s="1">
        <v>2600</v>
      </c>
      <c r="J108" s="2">
        <f t="shared" si="4"/>
        <v>742.85714285714289</v>
      </c>
      <c r="K108" s="2" t="s">
        <v>16</v>
      </c>
      <c r="L108" s="1">
        <v>6086349</v>
      </c>
      <c r="M108" s="1">
        <v>496891</v>
      </c>
      <c r="N108" s="25"/>
    </row>
    <row r="109" spans="1:14" ht="24.95" customHeight="1" x14ac:dyDescent="0.25">
      <c r="A109" s="10"/>
      <c r="B109" s="24" t="s">
        <v>514</v>
      </c>
      <c r="C109" s="1" t="s">
        <v>133</v>
      </c>
      <c r="D109" s="1" t="s">
        <v>128</v>
      </c>
      <c r="E109" s="1" t="s">
        <v>42</v>
      </c>
      <c r="F109" s="1" t="s">
        <v>146</v>
      </c>
      <c r="G109" s="1" t="s">
        <v>147</v>
      </c>
      <c r="H109" s="1" t="s">
        <v>147</v>
      </c>
      <c r="I109" s="1">
        <v>1600</v>
      </c>
      <c r="J109" s="2">
        <f t="shared" si="4"/>
        <v>457.14285714285717</v>
      </c>
      <c r="K109" s="2" t="s">
        <v>16</v>
      </c>
      <c r="L109" s="1">
        <v>6086526</v>
      </c>
      <c r="M109" s="1">
        <v>496522</v>
      </c>
      <c r="N109" s="25"/>
    </row>
    <row r="110" spans="1:14" ht="24.95" customHeight="1" x14ac:dyDescent="0.25">
      <c r="A110" s="10"/>
      <c r="B110" s="24" t="s">
        <v>515</v>
      </c>
      <c r="C110" s="1" t="s">
        <v>133</v>
      </c>
      <c r="D110" s="1" t="s">
        <v>128</v>
      </c>
      <c r="E110" s="1" t="s">
        <v>139</v>
      </c>
      <c r="F110" s="1">
        <v>58</v>
      </c>
      <c r="G110" s="1" t="s">
        <v>148</v>
      </c>
      <c r="H110" s="1" t="s">
        <v>148</v>
      </c>
      <c r="I110" s="1">
        <v>1700</v>
      </c>
      <c r="J110" s="2">
        <f t="shared" si="4"/>
        <v>485.71428571428572</v>
      </c>
      <c r="K110" s="2" t="s">
        <v>16</v>
      </c>
      <c r="L110" s="1">
        <v>6086878</v>
      </c>
      <c r="M110" s="1">
        <v>498590</v>
      </c>
      <c r="N110" s="25"/>
    </row>
    <row r="111" spans="1:14" ht="24.95" customHeight="1" x14ac:dyDescent="0.25">
      <c r="A111" s="10"/>
      <c r="B111" s="24" t="s">
        <v>516</v>
      </c>
      <c r="C111" s="1" t="s">
        <v>133</v>
      </c>
      <c r="D111" s="1" t="s">
        <v>128</v>
      </c>
      <c r="E111" s="1" t="s">
        <v>139</v>
      </c>
      <c r="F111" s="1" t="s">
        <v>149</v>
      </c>
      <c r="G111" s="1" t="s">
        <v>150</v>
      </c>
      <c r="H111" s="1" t="s">
        <v>150</v>
      </c>
      <c r="I111" s="1">
        <v>2200</v>
      </c>
      <c r="J111" s="2">
        <f t="shared" si="4"/>
        <v>628.57142857142856</v>
      </c>
      <c r="K111" s="2" t="s">
        <v>16</v>
      </c>
      <c r="L111" s="1">
        <v>6087495</v>
      </c>
      <c r="M111" s="1">
        <v>498332</v>
      </c>
      <c r="N111" s="25"/>
    </row>
    <row r="112" spans="1:14" ht="24.95" customHeight="1" x14ac:dyDescent="0.25">
      <c r="A112" s="10"/>
      <c r="B112" s="24" t="s">
        <v>517</v>
      </c>
      <c r="C112" s="1" t="s">
        <v>133</v>
      </c>
      <c r="D112" s="1" t="s">
        <v>128</v>
      </c>
      <c r="E112" s="1" t="s">
        <v>139</v>
      </c>
      <c r="F112" s="1">
        <v>56</v>
      </c>
      <c r="G112" s="1" t="s">
        <v>151</v>
      </c>
      <c r="H112" s="1" t="s">
        <v>151</v>
      </c>
      <c r="I112" s="1">
        <v>2800</v>
      </c>
      <c r="J112" s="2">
        <f t="shared" si="4"/>
        <v>800</v>
      </c>
      <c r="K112" s="2" t="s">
        <v>16</v>
      </c>
      <c r="L112" s="1">
        <v>6086954</v>
      </c>
      <c r="M112" s="1">
        <v>498524</v>
      </c>
      <c r="N112" s="25"/>
    </row>
    <row r="113" spans="1:14" ht="24.95" customHeight="1" x14ac:dyDescent="0.25">
      <c r="A113" s="10"/>
      <c r="B113" s="24" t="s">
        <v>518</v>
      </c>
      <c r="C113" s="1" t="s">
        <v>133</v>
      </c>
      <c r="D113" s="1" t="s">
        <v>128</v>
      </c>
      <c r="E113" s="1" t="s">
        <v>139</v>
      </c>
      <c r="F113" s="1">
        <v>95</v>
      </c>
      <c r="G113" s="1" t="s">
        <v>152</v>
      </c>
      <c r="H113" s="1" t="s">
        <v>152</v>
      </c>
      <c r="I113" s="1">
        <v>1800</v>
      </c>
      <c r="J113" s="2">
        <f t="shared" si="4"/>
        <v>514.28571428571433</v>
      </c>
      <c r="K113" s="2" t="s">
        <v>16</v>
      </c>
      <c r="L113" s="1">
        <v>6087890</v>
      </c>
      <c r="M113" s="1">
        <v>498846</v>
      </c>
      <c r="N113" s="25"/>
    </row>
    <row r="114" spans="1:14" ht="24.95" customHeight="1" x14ac:dyDescent="0.25">
      <c r="A114" s="10"/>
      <c r="B114" s="24" t="s">
        <v>519</v>
      </c>
      <c r="C114" s="1" t="s">
        <v>133</v>
      </c>
      <c r="D114" s="1" t="s">
        <v>128</v>
      </c>
      <c r="E114" s="1" t="s">
        <v>135</v>
      </c>
      <c r="F114" s="1">
        <v>133</v>
      </c>
      <c r="G114" s="1" t="s">
        <v>153</v>
      </c>
      <c r="H114" s="1" t="s">
        <v>79</v>
      </c>
      <c r="I114" s="2">
        <v>300</v>
      </c>
      <c r="J114" s="2">
        <f t="shared" si="4"/>
        <v>85.714285714285708</v>
      </c>
      <c r="K114" s="2" t="s">
        <v>16</v>
      </c>
      <c r="L114" s="3" t="s">
        <v>154</v>
      </c>
      <c r="M114" s="1">
        <v>499759</v>
      </c>
      <c r="N114" s="25"/>
    </row>
    <row r="115" spans="1:14" ht="24.95" customHeight="1" x14ac:dyDescent="0.25">
      <c r="A115" s="10"/>
      <c r="B115" s="24" t="s">
        <v>520</v>
      </c>
      <c r="C115" s="1" t="s">
        <v>133</v>
      </c>
      <c r="D115" s="1" t="s">
        <v>128</v>
      </c>
      <c r="E115" s="1" t="s">
        <v>139</v>
      </c>
      <c r="F115" s="1" t="s">
        <v>155</v>
      </c>
      <c r="G115" s="1" t="s">
        <v>156</v>
      </c>
      <c r="H115" s="1" t="s">
        <v>156</v>
      </c>
      <c r="I115" s="1">
        <v>240</v>
      </c>
      <c r="J115" s="2">
        <f t="shared" si="4"/>
        <v>68.571428571428569</v>
      </c>
      <c r="K115" s="2" t="s">
        <v>16</v>
      </c>
      <c r="L115" s="1">
        <v>6087839</v>
      </c>
      <c r="M115" s="1">
        <v>499374</v>
      </c>
      <c r="N115" s="25"/>
    </row>
    <row r="116" spans="1:14" ht="24.95" customHeight="1" x14ac:dyDescent="0.25">
      <c r="A116" s="10"/>
      <c r="B116" s="24" t="s">
        <v>521</v>
      </c>
      <c r="C116" s="1" t="s">
        <v>133</v>
      </c>
      <c r="D116" s="1" t="s">
        <v>128</v>
      </c>
      <c r="E116" s="1" t="s">
        <v>157</v>
      </c>
      <c r="F116" s="1">
        <v>94</v>
      </c>
      <c r="G116" s="1" t="s">
        <v>158</v>
      </c>
      <c r="H116" s="1" t="s">
        <v>158</v>
      </c>
      <c r="I116" s="1">
        <v>3000</v>
      </c>
      <c r="J116" s="2">
        <f t="shared" si="4"/>
        <v>857.14285714285711</v>
      </c>
      <c r="K116" s="2" t="s">
        <v>16</v>
      </c>
      <c r="L116" s="1">
        <v>6086858</v>
      </c>
      <c r="M116" s="1">
        <v>498462</v>
      </c>
      <c r="N116" s="25"/>
    </row>
    <row r="117" spans="1:14" ht="24.95" customHeight="1" x14ac:dyDescent="0.25">
      <c r="A117" s="10"/>
      <c r="B117" s="24" t="s">
        <v>522</v>
      </c>
      <c r="C117" s="1" t="s">
        <v>133</v>
      </c>
      <c r="D117" s="1" t="s">
        <v>128</v>
      </c>
      <c r="E117" s="1" t="s">
        <v>129</v>
      </c>
      <c r="F117" s="1">
        <v>46</v>
      </c>
      <c r="G117" s="1" t="s">
        <v>159</v>
      </c>
      <c r="H117" s="1" t="s">
        <v>159</v>
      </c>
      <c r="I117" s="1">
        <v>2900</v>
      </c>
      <c r="J117" s="2">
        <f t="shared" si="4"/>
        <v>828.57142857142856</v>
      </c>
      <c r="K117" s="2" t="s">
        <v>25</v>
      </c>
      <c r="L117" s="1">
        <v>6087050</v>
      </c>
      <c r="M117" s="1">
        <v>498325</v>
      </c>
      <c r="N117" s="25"/>
    </row>
    <row r="118" spans="1:14" ht="24.95" customHeight="1" x14ac:dyDescent="0.25">
      <c r="A118" s="10"/>
      <c r="B118" s="24" t="s">
        <v>523</v>
      </c>
      <c r="C118" s="1" t="s">
        <v>133</v>
      </c>
      <c r="D118" s="1" t="s">
        <v>128</v>
      </c>
      <c r="E118" s="1" t="s">
        <v>129</v>
      </c>
      <c r="F118" s="1">
        <v>118</v>
      </c>
      <c r="G118" s="1" t="s">
        <v>667</v>
      </c>
      <c r="H118" s="1" t="s">
        <v>667</v>
      </c>
      <c r="I118" s="1">
        <v>1700</v>
      </c>
      <c r="J118" s="2">
        <f t="shared" si="4"/>
        <v>485.71428571428572</v>
      </c>
      <c r="K118" s="2" t="s">
        <v>25</v>
      </c>
      <c r="L118" s="1">
        <v>6087990</v>
      </c>
      <c r="M118" s="1">
        <v>498918</v>
      </c>
      <c r="N118" s="25"/>
    </row>
    <row r="119" spans="1:14" ht="24.95" customHeight="1" x14ac:dyDescent="0.25">
      <c r="A119" s="10"/>
      <c r="B119" s="24" t="s">
        <v>524</v>
      </c>
      <c r="C119" s="1" t="s">
        <v>133</v>
      </c>
      <c r="D119" s="1" t="s">
        <v>128</v>
      </c>
      <c r="E119" s="1" t="s">
        <v>131</v>
      </c>
      <c r="F119" s="1">
        <v>31</v>
      </c>
      <c r="G119" s="1" t="s">
        <v>411</v>
      </c>
      <c r="H119" s="1" t="s">
        <v>645</v>
      </c>
      <c r="I119" s="2">
        <v>11000</v>
      </c>
      <c r="J119" s="2">
        <f t="shared" si="4"/>
        <v>3142.8571428571427</v>
      </c>
      <c r="K119" s="2" t="s">
        <v>16</v>
      </c>
      <c r="L119" s="1">
        <v>6086443</v>
      </c>
      <c r="M119" s="1">
        <v>498974</v>
      </c>
      <c r="N119" s="25"/>
    </row>
    <row r="120" spans="1:14" ht="24.95" customHeight="1" x14ac:dyDescent="0.25">
      <c r="A120" s="10"/>
      <c r="B120" s="24" t="s">
        <v>525</v>
      </c>
      <c r="C120" s="1" t="s">
        <v>133</v>
      </c>
      <c r="D120" s="1" t="s">
        <v>128</v>
      </c>
      <c r="E120" s="1" t="s">
        <v>139</v>
      </c>
      <c r="F120" s="1">
        <v>114</v>
      </c>
      <c r="G120" s="1" t="s">
        <v>161</v>
      </c>
      <c r="H120" s="1" t="s">
        <v>162</v>
      </c>
      <c r="I120" s="2">
        <v>300</v>
      </c>
      <c r="J120" s="2">
        <f t="shared" si="4"/>
        <v>85.714285714285708</v>
      </c>
      <c r="K120" s="2" t="s">
        <v>16</v>
      </c>
      <c r="L120" s="1">
        <v>6087564</v>
      </c>
      <c r="M120" s="1">
        <v>499767</v>
      </c>
      <c r="N120" s="25"/>
    </row>
    <row r="121" spans="1:14" ht="24.95" customHeight="1" x14ac:dyDescent="0.25">
      <c r="A121" s="10"/>
      <c r="B121" s="24" t="s">
        <v>526</v>
      </c>
      <c r="C121" s="1" t="s">
        <v>133</v>
      </c>
      <c r="D121" s="1" t="s">
        <v>128</v>
      </c>
      <c r="E121" s="1" t="s">
        <v>135</v>
      </c>
      <c r="F121" s="1">
        <v>127</v>
      </c>
      <c r="G121" s="1" t="s">
        <v>163</v>
      </c>
      <c r="H121" s="1" t="s">
        <v>162</v>
      </c>
      <c r="I121" s="2">
        <v>300</v>
      </c>
      <c r="J121" s="2">
        <f t="shared" si="4"/>
        <v>85.714285714285708</v>
      </c>
      <c r="K121" s="2" t="s">
        <v>16</v>
      </c>
      <c r="L121" s="1">
        <v>6087051</v>
      </c>
      <c r="M121" s="1">
        <v>499294</v>
      </c>
      <c r="N121" s="25"/>
    </row>
    <row r="122" spans="1:14" ht="24.95" customHeight="1" x14ac:dyDescent="0.25">
      <c r="A122" s="10"/>
      <c r="B122" s="24" t="s">
        <v>527</v>
      </c>
      <c r="C122" s="1" t="s">
        <v>164</v>
      </c>
      <c r="D122" s="1" t="s">
        <v>165</v>
      </c>
      <c r="E122" s="1" t="s">
        <v>166</v>
      </c>
      <c r="F122" s="1">
        <v>66</v>
      </c>
      <c r="G122" s="1" t="s">
        <v>167</v>
      </c>
      <c r="H122" s="1" t="s">
        <v>22</v>
      </c>
      <c r="I122" s="1">
        <v>7200</v>
      </c>
      <c r="J122" s="2">
        <f t="shared" si="4"/>
        <v>2057.1428571428573</v>
      </c>
      <c r="K122" s="2" t="s">
        <v>25</v>
      </c>
      <c r="L122" s="1">
        <v>6087687</v>
      </c>
      <c r="M122" s="1">
        <v>495108</v>
      </c>
      <c r="N122" s="25"/>
    </row>
    <row r="123" spans="1:14" ht="24.95" customHeight="1" x14ac:dyDescent="0.25">
      <c r="A123" s="10"/>
      <c r="B123" s="24" t="s">
        <v>528</v>
      </c>
      <c r="C123" s="1" t="s">
        <v>164</v>
      </c>
      <c r="D123" s="1" t="s">
        <v>165</v>
      </c>
      <c r="E123" s="1" t="s">
        <v>168</v>
      </c>
      <c r="F123" s="1">
        <v>257</v>
      </c>
      <c r="G123" s="1" t="s">
        <v>169</v>
      </c>
      <c r="H123" s="1" t="s">
        <v>169</v>
      </c>
      <c r="I123" s="2">
        <v>2400</v>
      </c>
      <c r="J123" s="2">
        <f t="shared" si="4"/>
        <v>685.71428571428567</v>
      </c>
      <c r="K123" s="2" t="s">
        <v>16</v>
      </c>
      <c r="L123" s="1">
        <v>6087745</v>
      </c>
      <c r="M123" s="1">
        <v>495650</v>
      </c>
      <c r="N123" s="25"/>
    </row>
    <row r="124" spans="1:14" ht="24.95" customHeight="1" x14ac:dyDescent="0.25">
      <c r="A124" s="10"/>
      <c r="B124" s="24" t="s">
        <v>529</v>
      </c>
      <c r="C124" s="1" t="s">
        <v>164</v>
      </c>
      <c r="D124" s="1" t="s">
        <v>165</v>
      </c>
      <c r="E124" s="1" t="s">
        <v>170</v>
      </c>
      <c r="F124" s="1">
        <v>35</v>
      </c>
      <c r="G124" s="1" t="s">
        <v>171</v>
      </c>
      <c r="H124" s="1" t="s">
        <v>171</v>
      </c>
      <c r="I124" s="1">
        <v>2000</v>
      </c>
      <c r="J124" s="2">
        <f t="shared" si="4"/>
        <v>571.42857142857144</v>
      </c>
      <c r="K124" s="2" t="s">
        <v>16</v>
      </c>
      <c r="L124" s="1">
        <v>6088228</v>
      </c>
      <c r="M124" s="1">
        <v>497446</v>
      </c>
      <c r="N124" s="25"/>
    </row>
    <row r="125" spans="1:14" ht="24.95" customHeight="1" x14ac:dyDescent="0.25">
      <c r="A125" s="10"/>
      <c r="B125" s="24" t="s">
        <v>530</v>
      </c>
      <c r="C125" s="1" t="s">
        <v>164</v>
      </c>
      <c r="D125" s="1" t="s">
        <v>165</v>
      </c>
      <c r="E125" s="1" t="s">
        <v>170</v>
      </c>
      <c r="F125" s="1">
        <v>23</v>
      </c>
      <c r="G125" s="1" t="s">
        <v>172</v>
      </c>
      <c r="H125" s="1" t="s">
        <v>172</v>
      </c>
      <c r="I125" s="1">
        <v>1200</v>
      </c>
      <c r="J125" s="2">
        <f t="shared" si="4"/>
        <v>342.85714285714283</v>
      </c>
      <c r="K125" s="2" t="s">
        <v>16</v>
      </c>
      <c r="L125" s="1">
        <v>6088208</v>
      </c>
      <c r="M125" s="1">
        <v>497721</v>
      </c>
      <c r="N125" s="25"/>
    </row>
    <row r="126" spans="1:14" ht="24.95" customHeight="1" x14ac:dyDescent="0.25">
      <c r="A126" s="10"/>
      <c r="B126" s="24" t="s">
        <v>531</v>
      </c>
      <c r="C126" s="1" t="s">
        <v>164</v>
      </c>
      <c r="D126" s="1" t="s">
        <v>165</v>
      </c>
      <c r="E126" s="1" t="s">
        <v>173</v>
      </c>
      <c r="F126" s="1">
        <v>28</v>
      </c>
      <c r="G126" s="1" t="s">
        <v>412</v>
      </c>
      <c r="H126" s="1" t="s">
        <v>412</v>
      </c>
      <c r="I126" s="1">
        <v>5900</v>
      </c>
      <c r="J126" s="2">
        <f t="shared" si="4"/>
        <v>1685.7142857142858</v>
      </c>
      <c r="K126" s="2" t="s">
        <v>16</v>
      </c>
      <c r="L126" s="1">
        <v>6088101</v>
      </c>
      <c r="M126" s="1">
        <v>497513</v>
      </c>
      <c r="N126" s="25"/>
    </row>
    <row r="127" spans="1:14" ht="24.95" customHeight="1" x14ac:dyDescent="0.25">
      <c r="A127" s="10"/>
      <c r="B127" s="24" t="s">
        <v>532</v>
      </c>
      <c r="C127" s="1" t="s">
        <v>164</v>
      </c>
      <c r="D127" s="1" t="s">
        <v>165</v>
      </c>
      <c r="E127" s="1" t="s">
        <v>170</v>
      </c>
      <c r="F127" s="1">
        <v>97</v>
      </c>
      <c r="G127" s="1" t="s">
        <v>174</v>
      </c>
      <c r="H127" s="1" t="s">
        <v>174</v>
      </c>
      <c r="I127" s="1">
        <v>3300</v>
      </c>
      <c r="J127" s="2">
        <f t="shared" si="4"/>
        <v>942.85714285714289</v>
      </c>
      <c r="K127" s="2" t="s">
        <v>25</v>
      </c>
      <c r="L127" s="1">
        <v>6088062</v>
      </c>
      <c r="M127" s="1">
        <v>495671</v>
      </c>
      <c r="N127" s="25"/>
    </row>
    <row r="128" spans="1:14" ht="24.95" customHeight="1" x14ac:dyDescent="0.25">
      <c r="A128" s="10"/>
      <c r="B128" s="24" t="s">
        <v>533</v>
      </c>
      <c r="C128" s="1" t="s">
        <v>164</v>
      </c>
      <c r="D128" s="1" t="s">
        <v>165</v>
      </c>
      <c r="E128" s="1" t="s">
        <v>175</v>
      </c>
      <c r="F128" s="1">
        <v>21</v>
      </c>
      <c r="G128" s="1" t="s">
        <v>176</v>
      </c>
      <c r="H128" s="1" t="s">
        <v>176</v>
      </c>
      <c r="I128" s="1">
        <v>1800</v>
      </c>
      <c r="J128" s="2">
        <f t="shared" si="4"/>
        <v>514.28571428571433</v>
      </c>
      <c r="K128" s="2" t="s">
        <v>16</v>
      </c>
      <c r="L128" s="1">
        <v>6088148</v>
      </c>
      <c r="M128" s="1">
        <v>496712</v>
      </c>
      <c r="N128" s="25"/>
    </row>
    <row r="129" spans="1:14" ht="24.95" customHeight="1" x14ac:dyDescent="0.25">
      <c r="A129" s="10"/>
      <c r="B129" s="24" t="s">
        <v>534</v>
      </c>
      <c r="C129" s="1" t="s">
        <v>164</v>
      </c>
      <c r="D129" s="1" t="s">
        <v>165</v>
      </c>
      <c r="E129" s="1" t="s">
        <v>175</v>
      </c>
      <c r="F129" s="1">
        <v>13</v>
      </c>
      <c r="G129" s="1" t="s">
        <v>177</v>
      </c>
      <c r="H129" s="1" t="s">
        <v>177</v>
      </c>
      <c r="I129" s="1">
        <v>2400</v>
      </c>
      <c r="J129" s="2">
        <f t="shared" si="4"/>
        <v>685.71428571428567</v>
      </c>
      <c r="K129" s="2" t="s">
        <v>16</v>
      </c>
      <c r="L129" s="1">
        <v>6088104</v>
      </c>
      <c r="M129" s="1">
        <v>496537</v>
      </c>
      <c r="N129" s="25"/>
    </row>
    <row r="130" spans="1:14" ht="24.95" customHeight="1" x14ac:dyDescent="0.25">
      <c r="A130" s="10"/>
      <c r="B130" s="24" t="s">
        <v>535</v>
      </c>
      <c r="C130" s="1" t="s">
        <v>164</v>
      </c>
      <c r="D130" s="1" t="s">
        <v>165</v>
      </c>
      <c r="E130" s="1" t="s">
        <v>178</v>
      </c>
      <c r="F130" s="1">
        <v>39</v>
      </c>
      <c r="G130" s="1" t="s">
        <v>179</v>
      </c>
      <c r="H130" s="1" t="s">
        <v>179</v>
      </c>
      <c r="I130" s="1">
        <v>2400</v>
      </c>
      <c r="J130" s="2">
        <f t="shared" si="4"/>
        <v>685.71428571428567</v>
      </c>
      <c r="K130" s="2" t="s">
        <v>16</v>
      </c>
      <c r="L130" s="1">
        <v>6088549</v>
      </c>
      <c r="M130" s="1">
        <v>495544</v>
      </c>
      <c r="N130" s="25"/>
    </row>
    <row r="131" spans="1:14" ht="24.95" customHeight="1" x14ac:dyDescent="0.25">
      <c r="A131" s="10"/>
      <c r="B131" s="24" t="s">
        <v>536</v>
      </c>
      <c r="C131" s="1" t="s">
        <v>164</v>
      </c>
      <c r="D131" s="1" t="s">
        <v>165</v>
      </c>
      <c r="E131" s="1" t="s">
        <v>178</v>
      </c>
      <c r="F131" s="1">
        <v>23</v>
      </c>
      <c r="G131" s="1" t="s">
        <v>406</v>
      </c>
      <c r="H131" s="1" t="s">
        <v>406</v>
      </c>
      <c r="I131" s="1">
        <v>3100</v>
      </c>
      <c r="J131" s="2">
        <f t="shared" si="4"/>
        <v>885.71428571428567</v>
      </c>
      <c r="K131" s="2" t="s">
        <v>16</v>
      </c>
      <c r="L131" s="1">
        <v>6088469</v>
      </c>
      <c r="M131" s="1">
        <v>495715</v>
      </c>
      <c r="N131" s="26"/>
    </row>
    <row r="132" spans="1:14" ht="24.95" customHeight="1" x14ac:dyDescent="0.25">
      <c r="A132" s="10"/>
      <c r="B132" s="24" t="s">
        <v>537</v>
      </c>
      <c r="C132" s="1" t="s">
        <v>164</v>
      </c>
      <c r="D132" s="1" t="s">
        <v>165</v>
      </c>
      <c r="E132" s="1" t="s">
        <v>180</v>
      </c>
      <c r="F132" s="1" t="s">
        <v>181</v>
      </c>
      <c r="G132" s="1" t="s">
        <v>182</v>
      </c>
      <c r="H132" s="1" t="s">
        <v>182</v>
      </c>
      <c r="I132" s="1">
        <v>3200</v>
      </c>
      <c r="J132" s="2">
        <f t="shared" si="4"/>
        <v>914.28571428571433</v>
      </c>
      <c r="K132" s="2" t="s">
        <v>16</v>
      </c>
      <c r="L132" s="1">
        <v>6087602</v>
      </c>
      <c r="M132" s="1">
        <v>495743</v>
      </c>
      <c r="N132" s="25"/>
    </row>
    <row r="133" spans="1:14" ht="24.95" customHeight="1" x14ac:dyDescent="0.25">
      <c r="A133" s="10"/>
      <c r="B133" s="24" t="s">
        <v>538</v>
      </c>
      <c r="C133" s="1" t="s">
        <v>164</v>
      </c>
      <c r="D133" s="1" t="s">
        <v>165</v>
      </c>
      <c r="E133" s="1" t="s">
        <v>183</v>
      </c>
      <c r="F133" s="1">
        <v>71</v>
      </c>
      <c r="G133" s="1" t="s">
        <v>184</v>
      </c>
      <c r="H133" s="1" t="s">
        <v>184</v>
      </c>
      <c r="I133" s="1">
        <v>2100</v>
      </c>
      <c r="J133" s="2">
        <f t="shared" si="4"/>
        <v>600</v>
      </c>
      <c r="K133" s="2" t="s">
        <v>16</v>
      </c>
      <c r="L133" s="1">
        <v>6087762</v>
      </c>
      <c r="M133" s="1">
        <v>495311</v>
      </c>
      <c r="N133" s="25"/>
    </row>
    <row r="134" spans="1:14" ht="24.95" customHeight="1" x14ac:dyDescent="0.25">
      <c r="A134" s="10"/>
      <c r="B134" s="24" t="s">
        <v>539</v>
      </c>
      <c r="C134" s="1" t="s">
        <v>164</v>
      </c>
      <c r="D134" s="1" t="s">
        <v>165</v>
      </c>
      <c r="E134" s="1" t="s">
        <v>185</v>
      </c>
      <c r="F134" s="1">
        <v>6</v>
      </c>
      <c r="G134" s="1" t="s">
        <v>186</v>
      </c>
      <c r="H134" s="1" t="s">
        <v>186</v>
      </c>
      <c r="I134" s="1">
        <v>2480</v>
      </c>
      <c r="J134" s="2">
        <f t="shared" si="4"/>
        <v>708.57142857142856</v>
      </c>
      <c r="K134" s="2" t="s">
        <v>16</v>
      </c>
      <c r="L134" s="1">
        <v>6087902</v>
      </c>
      <c r="M134" s="1">
        <v>496504</v>
      </c>
      <c r="N134" s="25"/>
    </row>
    <row r="135" spans="1:14" ht="24.95" customHeight="1" x14ac:dyDescent="0.25">
      <c r="A135" s="10"/>
      <c r="B135" s="24" t="s">
        <v>540</v>
      </c>
      <c r="C135" s="1" t="s">
        <v>164</v>
      </c>
      <c r="D135" s="1" t="s">
        <v>165</v>
      </c>
      <c r="E135" s="1" t="s">
        <v>187</v>
      </c>
      <c r="F135" s="1" t="s">
        <v>188</v>
      </c>
      <c r="G135" s="1" t="s">
        <v>189</v>
      </c>
      <c r="H135" s="1" t="s">
        <v>189</v>
      </c>
      <c r="I135" s="1">
        <v>2480</v>
      </c>
      <c r="J135" s="2">
        <f t="shared" si="4"/>
        <v>708.57142857142856</v>
      </c>
      <c r="K135" s="2" t="s">
        <v>16</v>
      </c>
      <c r="L135" s="1">
        <v>6087529</v>
      </c>
      <c r="M135" s="1">
        <v>497200</v>
      </c>
      <c r="N135" s="25"/>
    </row>
    <row r="136" spans="1:14" ht="24.95" customHeight="1" x14ac:dyDescent="0.25">
      <c r="A136" s="10"/>
      <c r="B136" s="24" t="s">
        <v>541</v>
      </c>
      <c r="C136" s="1" t="s">
        <v>164</v>
      </c>
      <c r="D136" s="1" t="s">
        <v>165</v>
      </c>
      <c r="E136" s="1" t="s">
        <v>173</v>
      </c>
      <c r="F136" s="1">
        <v>9</v>
      </c>
      <c r="G136" s="1" t="s">
        <v>190</v>
      </c>
      <c r="H136" s="1" t="s">
        <v>190</v>
      </c>
      <c r="I136" s="1">
        <v>2400</v>
      </c>
      <c r="J136" s="2">
        <f t="shared" si="4"/>
        <v>685.71428571428567</v>
      </c>
      <c r="K136" s="2" t="s">
        <v>16</v>
      </c>
      <c r="L136" s="1">
        <v>6087948</v>
      </c>
      <c r="M136" s="1">
        <v>497711</v>
      </c>
      <c r="N136" s="25"/>
    </row>
    <row r="137" spans="1:14" ht="24.95" customHeight="1" x14ac:dyDescent="0.25">
      <c r="A137" s="10"/>
      <c r="B137" s="24" t="s">
        <v>542</v>
      </c>
      <c r="C137" s="1" t="s">
        <v>164</v>
      </c>
      <c r="D137" s="1" t="s">
        <v>165</v>
      </c>
      <c r="E137" s="1" t="s">
        <v>191</v>
      </c>
      <c r="F137" s="1">
        <v>17</v>
      </c>
      <c r="G137" s="1" t="s">
        <v>192</v>
      </c>
      <c r="H137" s="1" t="s">
        <v>192</v>
      </c>
      <c r="I137" s="1">
        <v>2400</v>
      </c>
      <c r="J137" s="2">
        <f t="shared" ref="J137:J168" si="5">I137/3.5</f>
        <v>685.71428571428567</v>
      </c>
      <c r="K137" s="2" t="s">
        <v>16</v>
      </c>
      <c r="L137" s="1">
        <v>6087855</v>
      </c>
      <c r="M137" s="1">
        <v>496132</v>
      </c>
      <c r="N137" s="25"/>
    </row>
    <row r="138" spans="1:14" ht="24.95" customHeight="1" x14ac:dyDescent="0.25">
      <c r="A138" s="10"/>
      <c r="B138" s="24" t="s">
        <v>543</v>
      </c>
      <c r="C138" s="1" t="s">
        <v>164</v>
      </c>
      <c r="D138" s="1" t="s">
        <v>165</v>
      </c>
      <c r="E138" s="1" t="s">
        <v>178</v>
      </c>
      <c r="F138" s="1">
        <v>13</v>
      </c>
      <c r="G138" s="1" t="s">
        <v>193</v>
      </c>
      <c r="H138" s="1" t="s">
        <v>193</v>
      </c>
      <c r="I138" s="1">
        <v>2400</v>
      </c>
      <c r="J138" s="2">
        <f t="shared" si="5"/>
        <v>685.71428571428567</v>
      </c>
      <c r="K138" s="2" t="s">
        <v>16</v>
      </c>
      <c r="L138" s="1">
        <v>6088536</v>
      </c>
      <c r="M138" s="1">
        <v>496002</v>
      </c>
      <c r="N138" s="25"/>
    </row>
    <row r="139" spans="1:14" ht="24.95" customHeight="1" x14ac:dyDescent="0.25">
      <c r="A139" s="10"/>
      <c r="B139" s="24" t="s">
        <v>544</v>
      </c>
      <c r="C139" s="1" t="s">
        <v>164</v>
      </c>
      <c r="D139" s="1" t="s">
        <v>165</v>
      </c>
      <c r="E139" s="1" t="s">
        <v>180</v>
      </c>
      <c r="F139" s="1">
        <v>214</v>
      </c>
      <c r="G139" s="1" t="s">
        <v>194</v>
      </c>
      <c r="H139" s="1" t="s">
        <v>194</v>
      </c>
      <c r="I139" s="2">
        <v>1800</v>
      </c>
      <c r="J139" s="2">
        <f t="shared" si="5"/>
        <v>514.28571428571433</v>
      </c>
      <c r="K139" s="2" t="s">
        <v>16</v>
      </c>
      <c r="L139" s="1">
        <v>6087600</v>
      </c>
      <c r="M139" s="1">
        <v>495852</v>
      </c>
      <c r="N139" s="25"/>
    </row>
    <row r="140" spans="1:14" ht="24.95" customHeight="1" x14ac:dyDescent="0.25">
      <c r="A140" s="10"/>
      <c r="B140" s="24" t="s">
        <v>545</v>
      </c>
      <c r="C140" s="1" t="s">
        <v>164</v>
      </c>
      <c r="D140" s="1" t="s">
        <v>165</v>
      </c>
      <c r="E140" s="1" t="s">
        <v>170</v>
      </c>
      <c r="F140" s="1">
        <v>55</v>
      </c>
      <c r="G140" s="1" t="s">
        <v>195</v>
      </c>
      <c r="H140" s="1" t="s">
        <v>195</v>
      </c>
      <c r="I140" s="1">
        <v>2800</v>
      </c>
      <c r="J140" s="2">
        <f t="shared" si="5"/>
        <v>800</v>
      </c>
      <c r="K140" s="2" t="s">
        <v>25</v>
      </c>
      <c r="L140" s="1">
        <v>6088256</v>
      </c>
      <c r="M140" s="1">
        <v>497047</v>
      </c>
      <c r="N140" s="25"/>
    </row>
    <row r="141" spans="1:14" ht="24.95" customHeight="1" x14ac:dyDescent="0.25">
      <c r="A141" s="10"/>
      <c r="B141" s="24" t="s">
        <v>546</v>
      </c>
      <c r="C141" s="1" t="s">
        <v>164</v>
      </c>
      <c r="D141" s="1" t="s">
        <v>165</v>
      </c>
      <c r="E141" s="1" t="s">
        <v>170</v>
      </c>
      <c r="F141" s="1">
        <v>73</v>
      </c>
      <c r="G141" s="1" t="s">
        <v>196</v>
      </c>
      <c r="H141" s="1" t="s">
        <v>196</v>
      </c>
      <c r="I141" s="1">
        <v>2400</v>
      </c>
      <c r="J141" s="2">
        <f t="shared" si="5"/>
        <v>685.71428571428567</v>
      </c>
      <c r="K141" s="2" t="s">
        <v>25</v>
      </c>
      <c r="L141" s="1">
        <v>6088194</v>
      </c>
      <c r="M141" s="1">
        <v>496105</v>
      </c>
      <c r="N141" s="25"/>
    </row>
    <row r="142" spans="1:14" ht="24.95" customHeight="1" x14ac:dyDescent="0.25">
      <c r="A142" s="10"/>
      <c r="B142" s="24" t="s">
        <v>547</v>
      </c>
      <c r="C142" s="1" t="s">
        <v>164</v>
      </c>
      <c r="D142" s="1" t="s">
        <v>165</v>
      </c>
      <c r="E142" s="1" t="s">
        <v>42</v>
      </c>
      <c r="F142" s="1">
        <v>369</v>
      </c>
      <c r="G142" s="1" t="s">
        <v>413</v>
      </c>
      <c r="H142" s="1" t="s">
        <v>645</v>
      </c>
      <c r="I142" s="2">
        <v>11400</v>
      </c>
      <c r="J142" s="2">
        <f t="shared" si="5"/>
        <v>3257.1428571428573</v>
      </c>
      <c r="K142" s="2" t="s">
        <v>16</v>
      </c>
      <c r="L142" s="1">
        <v>6087489</v>
      </c>
      <c r="M142" s="1">
        <v>497405</v>
      </c>
      <c r="N142" s="25"/>
    </row>
    <row r="143" spans="1:14" ht="24.95" customHeight="1" x14ac:dyDescent="0.25">
      <c r="A143" s="10"/>
      <c r="B143" s="24" t="s">
        <v>548</v>
      </c>
      <c r="C143" s="1" t="s">
        <v>164</v>
      </c>
      <c r="D143" s="1" t="s">
        <v>165</v>
      </c>
      <c r="E143" s="1" t="s">
        <v>197</v>
      </c>
      <c r="F143" s="1">
        <v>40</v>
      </c>
      <c r="G143" s="1" t="s">
        <v>198</v>
      </c>
      <c r="H143" s="1" t="s">
        <v>22</v>
      </c>
      <c r="I143" s="1">
        <v>2800</v>
      </c>
      <c r="J143" s="2">
        <f t="shared" si="5"/>
        <v>800</v>
      </c>
      <c r="K143" s="2" t="s">
        <v>25</v>
      </c>
      <c r="L143" s="1">
        <v>6087865</v>
      </c>
      <c r="M143" s="1">
        <v>497300</v>
      </c>
      <c r="N143" s="25"/>
    </row>
    <row r="144" spans="1:14" ht="24.95" customHeight="1" x14ac:dyDescent="0.25">
      <c r="A144" s="10"/>
      <c r="B144" s="24" t="s">
        <v>549</v>
      </c>
      <c r="C144" s="1" t="s">
        <v>661</v>
      </c>
      <c r="D144" s="1" t="s">
        <v>241</v>
      </c>
      <c r="E144" s="1" t="s">
        <v>242</v>
      </c>
      <c r="F144" s="1">
        <v>7</v>
      </c>
      <c r="G144" s="1" t="s">
        <v>243</v>
      </c>
      <c r="H144" s="1" t="s">
        <v>15</v>
      </c>
      <c r="I144" s="2">
        <v>300</v>
      </c>
      <c r="J144" s="2">
        <f t="shared" si="5"/>
        <v>85.714285714285708</v>
      </c>
      <c r="K144" s="2" t="s">
        <v>16</v>
      </c>
      <c r="L144" s="1">
        <v>6081332</v>
      </c>
      <c r="M144" s="1">
        <v>498309</v>
      </c>
      <c r="N144" s="25"/>
    </row>
    <row r="145" spans="1:14" ht="24.95" customHeight="1" x14ac:dyDescent="0.25">
      <c r="A145" s="10"/>
      <c r="B145" s="24" t="s">
        <v>550</v>
      </c>
      <c r="C145" s="1" t="s">
        <v>661</v>
      </c>
      <c r="D145" s="1" t="s">
        <v>241</v>
      </c>
      <c r="E145" s="1" t="s">
        <v>244</v>
      </c>
      <c r="F145" s="1">
        <v>3</v>
      </c>
      <c r="G145" s="1" t="s">
        <v>245</v>
      </c>
      <c r="H145" s="1" t="s">
        <v>245</v>
      </c>
      <c r="I145" s="1">
        <v>2200</v>
      </c>
      <c r="J145" s="2">
        <f t="shared" si="5"/>
        <v>628.57142857142856</v>
      </c>
      <c r="K145" s="2" t="s">
        <v>16</v>
      </c>
      <c r="L145" s="1">
        <v>6080840</v>
      </c>
      <c r="M145" s="1">
        <v>498391</v>
      </c>
      <c r="N145" s="25"/>
    </row>
    <row r="146" spans="1:14" ht="24.95" customHeight="1" x14ac:dyDescent="0.25">
      <c r="A146" s="10"/>
      <c r="B146" s="24" t="s">
        <v>551</v>
      </c>
      <c r="C146" s="1" t="s">
        <v>661</v>
      </c>
      <c r="D146" s="1" t="s">
        <v>246</v>
      </c>
      <c r="E146" s="1" t="s">
        <v>247</v>
      </c>
      <c r="F146" s="1">
        <v>2</v>
      </c>
      <c r="G146" s="1" t="s">
        <v>248</v>
      </c>
      <c r="H146" s="1" t="s">
        <v>248</v>
      </c>
      <c r="I146" s="1">
        <v>1500</v>
      </c>
      <c r="J146" s="2">
        <f t="shared" si="5"/>
        <v>428.57142857142856</v>
      </c>
      <c r="K146" s="2" t="s">
        <v>16</v>
      </c>
      <c r="L146" s="1">
        <v>6078154</v>
      </c>
      <c r="M146" s="1">
        <v>496268</v>
      </c>
      <c r="N146" s="25"/>
    </row>
    <row r="147" spans="1:14" ht="24.95" customHeight="1" x14ac:dyDescent="0.25">
      <c r="A147" s="10"/>
      <c r="B147" s="24" t="s">
        <v>552</v>
      </c>
      <c r="C147" s="1" t="s">
        <v>661</v>
      </c>
      <c r="D147" s="1" t="s">
        <v>241</v>
      </c>
      <c r="E147" s="1" t="s">
        <v>244</v>
      </c>
      <c r="F147" s="1">
        <v>7</v>
      </c>
      <c r="G147" s="1" t="s">
        <v>249</v>
      </c>
      <c r="H147" s="1" t="s">
        <v>249</v>
      </c>
      <c r="I147" s="1">
        <v>2200</v>
      </c>
      <c r="J147" s="2">
        <f t="shared" si="5"/>
        <v>628.57142857142856</v>
      </c>
      <c r="K147" s="2" t="s">
        <v>16</v>
      </c>
      <c r="L147" s="1">
        <v>6080598</v>
      </c>
      <c r="M147" s="1">
        <v>498324</v>
      </c>
      <c r="N147" s="25"/>
    </row>
    <row r="148" spans="1:14" ht="24.95" customHeight="1" x14ac:dyDescent="0.25">
      <c r="A148" s="10"/>
      <c r="B148" s="24" t="s">
        <v>553</v>
      </c>
      <c r="C148" s="1" t="s">
        <v>661</v>
      </c>
      <c r="D148" s="1" t="s">
        <v>241</v>
      </c>
      <c r="E148" s="1" t="s">
        <v>244</v>
      </c>
      <c r="F148" s="1">
        <v>5</v>
      </c>
      <c r="G148" s="1" t="s">
        <v>668</v>
      </c>
      <c r="H148" s="1" t="s">
        <v>668</v>
      </c>
      <c r="I148" s="1">
        <v>1400</v>
      </c>
      <c r="J148" s="2">
        <f t="shared" si="5"/>
        <v>400</v>
      </c>
      <c r="K148" s="2" t="s">
        <v>16</v>
      </c>
      <c r="L148" s="1">
        <v>6080695</v>
      </c>
      <c r="M148" s="1">
        <v>498325</v>
      </c>
      <c r="N148" s="25"/>
    </row>
    <row r="149" spans="1:14" ht="24.95" customHeight="1" x14ac:dyDescent="0.25">
      <c r="A149" s="10"/>
      <c r="B149" s="24" t="s">
        <v>554</v>
      </c>
      <c r="C149" s="1" t="s">
        <v>661</v>
      </c>
      <c r="D149" s="1" t="s">
        <v>246</v>
      </c>
      <c r="E149" s="1" t="s">
        <v>250</v>
      </c>
      <c r="F149" s="1">
        <v>2</v>
      </c>
      <c r="G149" s="1" t="s">
        <v>251</v>
      </c>
      <c r="H149" s="1" t="s">
        <v>251</v>
      </c>
      <c r="I149" s="2">
        <v>4400</v>
      </c>
      <c r="J149" s="2">
        <f t="shared" si="5"/>
        <v>1257.1428571428571</v>
      </c>
      <c r="K149" s="2" t="s">
        <v>25</v>
      </c>
      <c r="L149" s="1">
        <v>6078556</v>
      </c>
      <c r="M149" s="1">
        <v>496073</v>
      </c>
      <c r="N149" s="25"/>
    </row>
    <row r="150" spans="1:14" ht="24.95" customHeight="1" x14ac:dyDescent="0.25">
      <c r="A150" s="10"/>
      <c r="B150" s="24" t="s">
        <v>555</v>
      </c>
      <c r="C150" s="1" t="s">
        <v>661</v>
      </c>
      <c r="D150" s="1" t="s">
        <v>241</v>
      </c>
      <c r="E150" s="1" t="s">
        <v>252</v>
      </c>
      <c r="F150" s="1">
        <v>9</v>
      </c>
      <c r="G150" s="1" t="s">
        <v>253</v>
      </c>
      <c r="H150" s="1" t="s">
        <v>253</v>
      </c>
      <c r="I150" s="1">
        <v>1100</v>
      </c>
      <c r="J150" s="2">
        <f t="shared" si="5"/>
        <v>314.28571428571428</v>
      </c>
      <c r="K150" s="2" t="s">
        <v>16</v>
      </c>
      <c r="L150" s="1">
        <v>6081681</v>
      </c>
      <c r="M150" s="1">
        <v>498320</v>
      </c>
      <c r="N150" s="25"/>
    </row>
    <row r="151" spans="1:14" ht="24.95" customHeight="1" x14ac:dyDescent="0.25">
      <c r="A151" s="10"/>
      <c r="B151" s="24" t="s">
        <v>556</v>
      </c>
      <c r="C151" s="1" t="s">
        <v>661</v>
      </c>
      <c r="D151" s="1" t="s">
        <v>241</v>
      </c>
      <c r="E151" s="1" t="s">
        <v>242</v>
      </c>
      <c r="F151" s="1">
        <v>11</v>
      </c>
      <c r="G151" s="1" t="s">
        <v>254</v>
      </c>
      <c r="H151" s="1" t="s">
        <v>254</v>
      </c>
      <c r="I151" s="1">
        <v>2900</v>
      </c>
      <c r="J151" s="2">
        <f t="shared" si="5"/>
        <v>828.57142857142856</v>
      </c>
      <c r="K151" s="2" t="s">
        <v>25</v>
      </c>
      <c r="L151" s="1">
        <v>6081260</v>
      </c>
      <c r="M151" s="1">
        <v>498211</v>
      </c>
      <c r="N151" s="25"/>
    </row>
    <row r="152" spans="1:14" ht="24.95" customHeight="1" x14ac:dyDescent="0.25">
      <c r="A152" s="10"/>
      <c r="B152" s="24" t="s">
        <v>557</v>
      </c>
      <c r="C152" s="1" t="s">
        <v>661</v>
      </c>
      <c r="D152" s="1" t="s">
        <v>255</v>
      </c>
      <c r="E152" s="1" t="s">
        <v>256</v>
      </c>
      <c r="F152" s="1">
        <v>28</v>
      </c>
      <c r="G152" s="1" t="s">
        <v>257</v>
      </c>
      <c r="H152" s="1" t="s">
        <v>257</v>
      </c>
      <c r="I152" s="1">
        <v>500</v>
      </c>
      <c r="J152" s="2">
        <f t="shared" si="5"/>
        <v>142.85714285714286</v>
      </c>
      <c r="K152" s="2" t="s">
        <v>25</v>
      </c>
      <c r="L152" s="1">
        <v>6079028</v>
      </c>
      <c r="M152" s="1">
        <v>501469</v>
      </c>
      <c r="N152" s="25"/>
    </row>
    <row r="153" spans="1:14" ht="24.95" customHeight="1" x14ac:dyDescent="0.25">
      <c r="A153" s="10"/>
      <c r="B153" s="24" t="s">
        <v>558</v>
      </c>
      <c r="C153" s="1" t="s">
        <v>661</v>
      </c>
      <c r="D153" s="1" t="s">
        <v>241</v>
      </c>
      <c r="E153" s="1" t="s">
        <v>242</v>
      </c>
      <c r="F153" s="1">
        <v>115</v>
      </c>
      <c r="G153" s="1" t="s">
        <v>283</v>
      </c>
      <c r="H153" s="1" t="s">
        <v>283</v>
      </c>
      <c r="I153" s="2">
        <v>1600</v>
      </c>
      <c r="J153" s="2">
        <f t="shared" si="5"/>
        <v>457.14285714285717</v>
      </c>
      <c r="K153" s="2" t="s">
        <v>25</v>
      </c>
      <c r="L153" s="1">
        <v>6080762</v>
      </c>
      <c r="M153" s="1">
        <v>497657</v>
      </c>
      <c r="N153" s="25"/>
    </row>
    <row r="154" spans="1:14" ht="24.95" customHeight="1" x14ac:dyDescent="0.25">
      <c r="A154" s="10"/>
      <c r="B154" s="24" t="s">
        <v>559</v>
      </c>
      <c r="C154" s="1" t="s">
        <v>661</v>
      </c>
      <c r="D154" s="1" t="s">
        <v>275</v>
      </c>
      <c r="E154" s="1" t="s">
        <v>276</v>
      </c>
      <c r="F154" s="1" t="s">
        <v>277</v>
      </c>
      <c r="G154" s="1" t="s">
        <v>278</v>
      </c>
      <c r="H154" s="1" t="s">
        <v>278</v>
      </c>
      <c r="I154" s="1">
        <v>1600</v>
      </c>
      <c r="J154" s="2">
        <f t="shared" si="5"/>
        <v>457.14285714285717</v>
      </c>
      <c r="K154" s="2" t="s">
        <v>16</v>
      </c>
      <c r="L154" s="1">
        <v>6083780</v>
      </c>
      <c r="M154" s="1">
        <v>496886</v>
      </c>
      <c r="N154" s="25"/>
    </row>
    <row r="155" spans="1:14" ht="24.95" customHeight="1" x14ac:dyDescent="0.25">
      <c r="A155" s="10"/>
      <c r="B155" s="24" t="s">
        <v>560</v>
      </c>
      <c r="C155" s="1" t="s">
        <v>661</v>
      </c>
      <c r="D155" s="1" t="s">
        <v>275</v>
      </c>
      <c r="E155" s="1" t="s">
        <v>279</v>
      </c>
      <c r="F155" s="1">
        <v>70</v>
      </c>
      <c r="G155" s="1" t="s">
        <v>280</v>
      </c>
      <c r="H155" s="1" t="s">
        <v>280</v>
      </c>
      <c r="I155" s="1">
        <v>2000</v>
      </c>
      <c r="J155" s="2">
        <f t="shared" si="5"/>
        <v>571.42857142857144</v>
      </c>
      <c r="K155" s="2" t="s">
        <v>16</v>
      </c>
      <c r="L155" s="1">
        <v>6082103</v>
      </c>
      <c r="M155" s="1">
        <v>496850</v>
      </c>
      <c r="N155" s="25"/>
    </row>
    <row r="156" spans="1:14" ht="24.95" customHeight="1" x14ac:dyDescent="0.25">
      <c r="A156" s="10"/>
      <c r="B156" s="24" t="s">
        <v>561</v>
      </c>
      <c r="C156" s="1" t="s">
        <v>661</v>
      </c>
      <c r="D156" s="1" t="s">
        <v>281</v>
      </c>
      <c r="E156" s="1" t="s">
        <v>282</v>
      </c>
      <c r="F156" s="1">
        <v>7</v>
      </c>
      <c r="G156" s="1" t="s">
        <v>283</v>
      </c>
      <c r="H156" s="1" t="s">
        <v>283</v>
      </c>
      <c r="I156" s="1">
        <v>450</v>
      </c>
      <c r="J156" s="2">
        <f t="shared" si="5"/>
        <v>128.57142857142858</v>
      </c>
      <c r="K156" s="2" t="s">
        <v>16</v>
      </c>
      <c r="L156" s="1">
        <v>6081720</v>
      </c>
      <c r="M156" s="1">
        <v>495634</v>
      </c>
      <c r="N156" s="25"/>
    </row>
    <row r="157" spans="1:14" ht="24.95" customHeight="1" x14ac:dyDescent="0.25">
      <c r="A157" s="10"/>
      <c r="B157" s="24" t="s">
        <v>562</v>
      </c>
      <c r="C157" s="1" t="s">
        <v>661</v>
      </c>
      <c r="D157" s="1" t="s">
        <v>275</v>
      </c>
      <c r="E157" s="1" t="s">
        <v>284</v>
      </c>
      <c r="F157" s="1">
        <v>36</v>
      </c>
      <c r="G157" s="1" t="s">
        <v>647</v>
      </c>
      <c r="H157" s="1" t="s">
        <v>647</v>
      </c>
      <c r="I157" s="1">
        <v>700</v>
      </c>
      <c r="J157" s="2">
        <f t="shared" si="5"/>
        <v>200</v>
      </c>
      <c r="K157" s="2" t="s">
        <v>25</v>
      </c>
      <c r="L157" s="1">
        <v>6083531</v>
      </c>
      <c r="M157" s="1">
        <v>497022</v>
      </c>
      <c r="N157" s="25"/>
    </row>
    <row r="158" spans="1:14" ht="24.95" customHeight="1" x14ac:dyDescent="0.25">
      <c r="A158" s="10"/>
      <c r="B158" s="24" t="s">
        <v>563</v>
      </c>
      <c r="C158" s="1" t="s">
        <v>661</v>
      </c>
      <c r="D158" s="1" t="s">
        <v>275</v>
      </c>
      <c r="E158" s="1" t="s">
        <v>207</v>
      </c>
      <c r="F158" s="1">
        <v>60</v>
      </c>
      <c r="G158" s="1" t="s">
        <v>285</v>
      </c>
      <c r="H158" s="1" t="s">
        <v>101</v>
      </c>
      <c r="I158" s="2">
        <v>1000</v>
      </c>
      <c r="J158" s="2">
        <f t="shared" si="5"/>
        <v>285.71428571428572</v>
      </c>
      <c r="K158" s="2" t="s">
        <v>16</v>
      </c>
      <c r="L158" s="1">
        <v>6084576</v>
      </c>
      <c r="M158" s="1">
        <v>497146</v>
      </c>
      <c r="N158" s="25"/>
    </row>
    <row r="159" spans="1:14" ht="24.95" customHeight="1" x14ac:dyDescent="0.25">
      <c r="A159" s="10"/>
      <c r="B159" s="24" t="s">
        <v>564</v>
      </c>
      <c r="C159" s="1" t="s">
        <v>661</v>
      </c>
      <c r="D159" s="1" t="s">
        <v>286</v>
      </c>
      <c r="E159" s="1" t="s">
        <v>287</v>
      </c>
      <c r="F159" s="1">
        <v>27</v>
      </c>
      <c r="G159" s="1" t="s">
        <v>288</v>
      </c>
      <c r="H159" s="1" t="s">
        <v>288</v>
      </c>
      <c r="I159" s="1">
        <v>7900</v>
      </c>
      <c r="J159" s="2">
        <f t="shared" si="5"/>
        <v>2257.1428571428573</v>
      </c>
      <c r="K159" s="2" t="s">
        <v>25</v>
      </c>
      <c r="L159" s="1">
        <v>6082341</v>
      </c>
      <c r="M159" s="1">
        <v>496289</v>
      </c>
      <c r="N159" s="25"/>
    </row>
    <row r="160" spans="1:14" ht="24.95" customHeight="1" x14ac:dyDescent="0.25">
      <c r="A160" s="10"/>
      <c r="B160" s="24" t="s">
        <v>565</v>
      </c>
      <c r="C160" s="1" t="s">
        <v>661</v>
      </c>
      <c r="D160" s="1" t="s">
        <v>286</v>
      </c>
      <c r="E160" s="1" t="s">
        <v>289</v>
      </c>
      <c r="F160" s="1">
        <v>60</v>
      </c>
      <c r="G160" s="1" t="s">
        <v>290</v>
      </c>
      <c r="H160" s="1" t="s">
        <v>111</v>
      </c>
      <c r="I160" s="2">
        <v>450</v>
      </c>
      <c r="J160" s="2">
        <f t="shared" si="5"/>
        <v>128.57142857142858</v>
      </c>
      <c r="K160" s="2" t="s">
        <v>16</v>
      </c>
      <c r="L160" s="1">
        <v>6081731</v>
      </c>
      <c r="M160" s="1">
        <v>496049</v>
      </c>
      <c r="N160" s="25"/>
    </row>
    <row r="161" spans="1:14" ht="24.95" customHeight="1" x14ac:dyDescent="0.25">
      <c r="A161" s="10"/>
      <c r="B161" s="24" t="s">
        <v>566</v>
      </c>
      <c r="C161" s="1" t="s">
        <v>661</v>
      </c>
      <c r="D161" s="1" t="s">
        <v>286</v>
      </c>
      <c r="E161" s="1" t="s">
        <v>291</v>
      </c>
      <c r="F161" s="1">
        <v>164</v>
      </c>
      <c r="G161" s="1" t="s">
        <v>160</v>
      </c>
      <c r="H161" s="1" t="s">
        <v>160</v>
      </c>
      <c r="I161" s="2">
        <v>1600</v>
      </c>
      <c r="J161" s="2">
        <f t="shared" si="5"/>
        <v>457.14285714285717</v>
      </c>
      <c r="K161" s="2" t="s">
        <v>25</v>
      </c>
      <c r="L161" s="1">
        <v>6080605</v>
      </c>
      <c r="M161" s="1">
        <v>496314</v>
      </c>
      <c r="N161" s="25"/>
    </row>
    <row r="162" spans="1:14" ht="24.95" customHeight="1" x14ac:dyDescent="0.25">
      <c r="A162" s="10"/>
      <c r="B162" s="24" t="s">
        <v>567</v>
      </c>
      <c r="C162" s="1" t="s">
        <v>661</v>
      </c>
      <c r="D162" s="1" t="s">
        <v>286</v>
      </c>
      <c r="E162" s="1" t="s">
        <v>289</v>
      </c>
      <c r="F162" s="1">
        <v>72</v>
      </c>
      <c r="G162" s="1" t="s">
        <v>414</v>
      </c>
      <c r="H162" s="1" t="s">
        <v>645</v>
      </c>
      <c r="I162" s="2">
        <v>5200</v>
      </c>
      <c r="J162" s="2">
        <f t="shared" si="5"/>
        <v>1485.7142857142858</v>
      </c>
      <c r="K162" s="2" t="s">
        <v>16</v>
      </c>
      <c r="L162" s="1">
        <v>6081842</v>
      </c>
      <c r="M162" s="1">
        <v>495942</v>
      </c>
      <c r="N162" s="25"/>
    </row>
    <row r="163" spans="1:14" ht="24.95" customHeight="1" x14ac:dyDescent="0.25">
      <c r="A163" s="10"/>
      <c r="B163" s="24" t="s">
        <v>568</v>
      </c>
      <c r="C163" s="1" t="s">
        <v>659</v>
      </c>
      <c r="D163" s="1" t="s">
        <v>199</v>
      </c>
      <c r="E163" s="1" t="s">
        <v>200</v>
      </c>
      <c r="F163" s="1">
        <v>9</v>
      </c>
      <c r="G163" s="1" t="s">
        <v>201</v>
      </c>
      <c r="H163" s="1" t="s">
        <v>201</v>
      </c>
      <c r="I163" s="1">
        <v>3900</v>
      </c>
      <c r="J163" s="2">
        <f t="shared" si="5"/>
        <v>1114.2857142857142</v>
      </c>
      <c r="K163" s="2" t="s">
        <v>16</v>
      </c>
      <c r="L163" s="1">
        <v>6084750</v>
      </c>
      <c r="M163" s="1">
        <v>498077</v>
      </c>
      <c r="N163" s="25"/>
    </row>
    <row r="164" spans="1:14" ht="24.95" customHeight="1" x14ac:dyDescent="0.25">
      <c r="A164" s="10"/>
      <c r="B164" s="24" t="s">
        <v>569</v>
      </c>
      <c r="C164" s="1" t="s">
        <v>659</v>
      </c>
      <c r="D164" s="1" t="s">
        <v>199</v>
      </c>
      <c r="E164" s="1" t="s">
        <v>202</v>
      </c>
      <c r="F164" s="1">
        <v>15</v>
      </c>
      <c r="G164" s="1" t="s">
        <v>203</v>
      </c>
      <c r="H164" s="1" t="s">
        <v>203</v>
      </c>
      <c r="I164" s="1">
        <v>2300</v>
      </c>
      <c r="J164" s="2">
        <f t="shared" si="5"/>
        <v>657.14285714285711</v>
      </c>
      <c r="K164" s="2" t="s">
        <v>16</v>
      </c>
      <c r="L164" s="1">
        <v>6086037</v>
      </c>
      <c r="M164" s="1">
        <v>497362</v>
      </c>
      <c r="N164" s="25"/>
    </row>
    <row r="165" spans="1:14" ht="24.95" customHeight="1" x14ac:dyDescent="0.25">
      <c r="A165" s="10"/>
      <c r="B165" s="24" t="s">
        <v>570</v>
      </c>
      <c r="C165" s="1" t="s">
        <v>659</v>
      </c>
      <c r="D165" s="1" t="s">
        <v>199</v>
      </c>
      <c r="E165" s="1" t="s">
        <v>204</v>
      </c>
      <c r="F165" s="1">
        <v>49</v>
      </c>
      <c r="G165" s="1" t="s">
        <v>205</v>
      </c>
      <c r="H165" s="1" t="s">
        <v>205</v>
      </c>
      <c r="I165" s="1">
        <v>2500</v>
      </c>
      <c r="J165" s="2">
        <f t="shared" si="5"/>
        <v>714.28571428571433</v>
      </c>
      <c r="K165" s="2" t="s">
        <v>16</v>
      </c>
      <c r="L165" s="1">
        <v>6085854</v>
      </c>
      <c r="M165" s="1">
        <v>497371</v>
      </c>
      <c r="N165" s="25"/>
    </row>
    <row r="166" spans="1:14" ht="24.95" customHeight="1" x14ac:dyDescent="0.25">
      <c r="A166" s="10"/>
      <c r="B166" s="24" t="s">
        <v>571</v>
      </c>
      <c r="C166" s="1" t="s">
        <v>659</v>
      </c>
      <c r="D166" s="1" t="s">
        <v>199</v>
      </c>
      <c r="E166" s="1" t="s">
        <v>200</v>
      </c>
      <c r="F166" s="1">
        <v>11</v>
      </c>
      <c r="G166" s="1" t="s">
        <v>201</v>
      </c>
      <c r="H166" s="1" t="s">
        <v>201</v>
      </c>
      <c r="I166" s="1">
        <v>1200</v>
      </c>
      <c r="J166" s="2">
        <f t="shared" si="5"/>
        <v>342.85714285714283</v>
      </c>
      <c r="K166" s="2" t="s">
        <v>16</v>
      </c>
      <c r="L166" s="1">
        <v>6084692</v>
      </c>
      <c r="M166" s="1">
        <v>498196</v>
      </c>
      <c r="N166" s="25"/>
    </row>
    <row r="167" spans="1:14" ht="24.95" customHeight="1" x14ac:dyDescent="0.25">
      <c r="A167" s="10"/>
      <c r="B167" s="24" t="s">
        <v>572</v>
      </c>
      <c r="C167" s="1" t="s">
        <v>659</v>
      </c>
      <c r="D167" s="1" t="s">
        <v>199</v>
      </c>
      <c r="E167" s="1" t="s">
        <v>206</v>
      </c>
      <c r="F167" s="1">
        <v>7</v>
      </c>
      <c r="G167" s="1" t="s">
        <v>138</v>
      </c>
      <c r="H167" s="1" t="s">
        <v>138</v>
      </c>
      <c r="I167" s="2">
        <v>4200</v>
      </c>
      <c r="J167" s="2">
        <f t="shared" si="5"/>
        <v>1200</v>
      </c>
      <c r="K167" s="2" t="s">
        <v>16</v>
      </c>
      <c r="L167" s="1">
        <v>6085614</v>
      </c>
      <c r="M167" s="1">
        <v>496559</v>
      </c>
      <c r="N167" s="25"/>
    </row>
    <row r="168" spans="1:14" ht="24.95" customHeight="1" x14ac:dyDescent="0.25">
      <c r="A168" s="10"/>
      <c r="B168" s="24" t="s">
        <v>573</v>
      </c>
      <c r="C168" s="1" t="s">
        <v>659</v>
      </c>
      <c r="D168" s="1" t="s">
        <v>199</v>
      </c>
      <c r="E168" s="1" t="s">
        <v>207</v>
      </c>
      <c r="F168" s="1">
        <v>41</v>
      </c>
      <c r="G168" s="1" t="s">
        <v>208</v>
      </c>
      <c r="H168" s="1" t="s">
        <v>208</v>
      </c>
      <c r="I168" s="1">
        <v>1100</v>
      </c>
      <c r="J168" s="2">
        <f t="shared" si="5"/>
        <v>314.28571428571428</v>
      </c>
      <c r="K168" s="2" t="s">
        <v>16</v>
      </c>
      <c r="L168" s="1">
        <v>6084581</v>
      </c>
      <c r="M168" s="1">
        <v>496963</v>
      </c>
      <c r="N168" s="25"/>
    </row>
    <row r="169" spans="1:14" ht="24.95" customHeight="1" x14ac:dyDescent="0.25">
      <c r="A169" s="10"/>
      <c r="B169" s="24" t="s">
        <v>574</v>
      </c>
      <c r="C169" s="1" t="s">
        <v>659</v>
      </c>
      <c r="D169" s="1" t="s">
        <v>199</v>
      </c>
      <c r="E169" s="1" t="s">
        <v>157</v>
      </c>
      <c r="F169" s="1">
        <v>50</v>
      </c>
      <c r="G169" s="1" t="s">
        <v>209</v>
      </c>
      <c r="H169" s="1" t="s">
        <v>209</v>
      </c>
      <c r="I169" s="1">
        <v>1800</v>
      </c>
      <c r="J169" s="2">
        <f t="shared" ref="J169:J200" si="6">I169/3.5</f>
        <v>514.28571428571433</v>
      </c>
      <c r="K169" s="2" t="s">
        <v>25</v>
      </c>
      <c r="L169" s="1">
        <v>6085969</v>
      </c>
      <c r="M169" s="1">
        <v>498580</v>
      </c>
      <c r="N169" s="25"/>
    </row>
    <row r="170" spans="1:14" ht="24.95" customHeight="1" x14ac:dyDescent="0.25">
      <c r="A170" s="10"/>
      <c r="B170" s="24" t="s">
        <v>575</v>
      </c>
      <c r="C170" s="1" t="s">
        <v>659</v>
      </c>
      <c r="D170" s="1" t="s">
        <v>199</v>
      </c>
      <c r="E170" s="1" t="s">
        <v>157</v>
      </c>
      <c r="F170" s="1">
        <v>14</v>
      </c>
      <c r="G170" s="1" t="s">
        <v>646</v>
      </c>
      <c r="H170" s="1" t="s">
        <v>646</v>
      </c>
      <c r="I170" s="2">
        <v>1300</v>
      </c>
      <c r="J170" s="2">
        <f t="shared" si="6"/>
        <v>371.42857142857144</v>
      </c>
      <c r="K170" s="2" t="s">
        <v>16</v>
      </c>
      <c r="L170" s="1">
        <v>6085336</v>
      </c>
      <c r="M170" s="1">
        <v>498387</v>
      </c>
      <c r="N170" s="25"/>
    </row>
    <row r="171" spans="1:14" ht="24.95" customHeight="1" x14ac:dyDescent="0.25">
      <c r="A171" s="10"/>
      <c r="B171" s="24" t="s">
        <v>576</v>
      </c>
      <c r="C171" s="1" t="s">
        <v>659</v>
      </c>
      <c r="D171" s="1" t="s">
        <v>199</v>
      </c>
      <c r="E171" s="1" t="s">
        <v>157</v>
      </c>
      <c r="F171" s="1" t="s">
        <v>210</v>
      </c>
      <c r="G171" s="1" t="s">
        <v>211</v>
      </c>
      <c r="H171" s="1" t="s">
        <v>211</v>
      </c>
      <c r="I171" s="1">
        <v>1600</v>
      </c>
      <c r="J171" s="2">
        <f t="shared" si="6"/>
        <v>457.14285714285717</v>
      </c>
      <c r="K171" s="2" t="s">
        <v>16</v>
      </c>
      <c r="L171" s="1">
        <v>6085709</v>
      </c>
      <c r="M171" s="1">
        <v>498143</v>
      </c>
      <c r="N171" s="25"/>
    </row>
    <row r="172" spans="1:14" ht="24.95" customHeight="1" x14ac:dyDescent="0.25">
      <c r="A172" s="10"/>
      <c r="B172" s="24" t="s">
        <v>577</v>
      </c>
      <c r="C172" s="1" t="s">
        <v>659</v>
      </c>
      <c r="D172" s="1" t="s">
        <v>199</v>
      </c>
      <c r="E172" s="1" t="s">
        <v>157</v>
      </c>
      <c r="F172" s="1">
        <v>48</v>
      </c>
      <c r="G172" s="1" t="s">
        <v>212</v>
      </c>
      <c r="H172" s="1" t="s">
        <v>212</v>
      </c>
      <c r="I172" s="1">
        <v>1600</v>
      </c>
      <c r="J172" s="2">
        <f t="shared" si="6"/>
        <v>457.14285714285717</v>
      </c>
      <c r="K172" s="2" t="s">
        <v>16</v>
      </c>
      <c r="L172" s="1">
        <v>6085868</v>
      </c>
      <c r="M172" s="1">
        <v>498649</v>
      </c>
      <c r="N172" s="25"/>
    </row>
    <row r="173" spans="1:14" ht="24.95" customHeight="1" x14ac:dyDescent="0.25">
      <c r="A173" s="10"/>
      <c r="B173" s="24" t="s">
        <v>578</v>
      </c>
      <c r="C173" s="1" t="s">
        <v>659</v>
      </c>
      <c r="D173" s="1" t="s">
        <v>199</v>
      </c>
      <c r="E173" s="1" t="s">
        <v>213</v>
      </c>
      <c r="F173" s="1">
        <v>76</v>
      </c>
      <c r="G173" s="1" t="s">
        <v>665</v>
      </c>
      <c r="H173" s="1" t="s">
        <v>665</v>
      </c>
      <c r="I173" s="1">
        <v>790</v>
      </c>
      <c r="J173" s="2">
        <f t="shared" si="6"/>
        <v>225.71428571428572</v>
      </c>
      <c r="K173" s="2" t="s">
        <v>16</v>
      </c>
      <c r="L173" s="1">
        <v>6084852</v>
      </c>
      <c r="M173" s="1">
        <v>498134</v>
      </c>
      <c r="N173" s="25"/>
    </row>
    <row r="174" spans="1:14" ht="24.95" customHeight="1" x14ac:dyDescent="0.25">
      <c r="A174" s="10"/>
      <c r="B174" s="24" t="s">
        <v>579</v>
      </c>
      <c r="C174" s="1" t="s">
        <v>659</v>
      </c>
      <c r="D174" s="1" t="s">
        <v>199</v>
      </c>
      <c r="E174" s="1" t="s">
        <v>135</v>
      </c>
      <c r="F174" s="1">
        <v>72</v>
      </c>
      <c r="G174" s="1" t="s">
        <v>214</v>
      </c>
      <c r="H174" s="1" t="s">
        <v>214</v>
      </c>
      <c r="I174" s="1">
        <v>1100</v>
      </c>
      <c r="J174" s="2">
        <f t="shared" si="6"/>
        <v>314.28571428571428</v>
      </c>
      <c r="K174" s="2" t="s">
        <v>16</v>
      </c>
      <c r="L174" s="1">
        <v>6086025</v>
      </c>
      <c r="M174" s="1">
        <v>498037</v>
      </c>
      <c r="N174" s="25"/>
    </row>
    <row r="175" spans="1:14" ht="24.95" customHeight="1" x14ac:dyDescent="0.25">
      <c r="A175" s="10"/>
      <c r="B175" s="24" t="s">
        <v>580</v>
      </c>
      <c r="C175" s="1" t="s">
        <v>659</v>
      </c>
      <c r="D175" s="1" t="s">
        <v>199</v>
      </c>
      <c r="E175" s="1" t="s">
        <v>215</v>
      </c>
      <c r="F175" s="1">
        <v>34</v>
      </c>
      <c r="G175" s="1" t="s">
        <v>216</v>
      </c>
      <c r="H175" s="1" t="s">
        <v>216</v>
      </c>
      <c r="I175" s="1">
        <v>1300</v>
      </c>
      <c r="J175" s="2">
        <f t="shared" si="6"/>
        <v>371.42857142857144</v>
      </c>
      <c r="K175" s="2" t="s">
        <v>16</v>
      </c>
      <c r="L175" s="1">
        <v>6085604</v>
      </c>
      <c r="M175" s="1">
        <v>497833</v>
      </c>
      <c r="N175" s="25"/>
    </row>
    <row r="176" spans="1:14" ht="24.95" customHeight="1" x14ac:dyDescent="0.25">
      <c r="A176" s="10"/>
      <c r="B176" s="24" t="s">
        <v>581</v>
      </c>
      <c r="C176" s="1" t="s">
        <v>659</v>
      </c>
      <c r="D176" s="1" t="s">
        <v>199</v>
      </c>
      <c r="E176" s="1" t="s">
        <v>217</v>
      </c>
      <c r="F176" s="1">
        <v>8</v>
      </c>
      <c r="G176" s="1" t="s">
        <v>218</v>
      </c>
      <c r="H176" s="1" t="s">
        <v>218</v>
      </c>
      <c r="I176" s="1">
        <v>1000</v>
      </c>
      <c r="J176" s="2">
        <f t="shared" si="6"/>
        <v>285.71428571428572</v>
      </c>
      <c r="K176" s="2" t="s">
        <v>16</v>
      </c>
      <c r="L176" s="1">
        <v>6084738</v>
      </c>
      <c r="M176" s="1">
        <v>497150</v>
      </c>
      <c r="N176" s="25"/>
    </row>
    <row r="177" spans="1:14" ht="24.95" customHeight="1" x14ac:dyDescent="0.25">
      <c r="A177" s="10"/>
      <c r="B177" s="24" t="s">
        <v>582</v>
      </c>
      <c r="C177" s="1" t="s">
        <v>659</v>
      </c>
      <c r="D177" s="1" t="s">
        <v>199</v>
      </c>
      <c r="E177" s="1" t="s">
        <v>202</v>
      </c>
      <c r="F177" s="1">
        <v>14</v>
      </c>
      <c r="G177" s="1" t="s">
        <v>219</v>
      </c>
      <c r="H177" s="1" t="s">
        <v>219</v>
      </c>
      <c r="I177" s="2">
        <v>1700</v>
      </c>
      <c r="J177" s="2">
        <f t="shared" si="6"/>
        <v>485.71428571428572</v>
      </c>
      <c r="K177" s="2" t="s">
        <v>16</v>
      </c>
      <c r="L177" s="1">
        <v>6085979</v>
      </c>
      <c r="M177" s="1">
        <v>497337</v>
      </c>
      <c r="N177" s="25"/>
    </row>
    <row r="178" spans="1:14" ht="24.95" customHeight="1" x14ac:dyDescent="0.25">
      <c r="A178" s="10"/>
      <c r="B178" s="24" t="s">
        <v>583</v>
      </c>
      <c r="C178" s="1" t="s">
        <v>659</v>
      </c>
      <c r="D178" s="1" t="s">
        <v>199</v>
      </c>
      <c r="E178" s="1" t="s">
        <v>135</v>
      </c>
      <c r="F178" s="1">
        <v>68</v>
      </c>
      <c r="G178" s="1" t="s">
        <v>220</v>
      </c>
      <c r="H178" s="1" t="s">
        <v>220</v>
      </c>
      <c r="I178" s="1">
        <v>5449</v>
      </c>
      <c r="J178" s="2">
        <f t="shared" si="6"/>
        <v>1556.8571428571429</v>
      </c>
      <c r="K178" s="2" t="s">
        <v>25</v>
      </c>
      <c r="L178" s="1">
        <v>6086085</v>
      </c>
      <c r="M178" s="1">
        <v>497946</v>
      </c>
      <c r="N178" s="25"/>
    </row>
    <row r="179" spans="1:14" ht="24.95" customHeight="1" x14ac:dyDescent="0.25">
      <c r="A179" s="10"/>
      <c r="B179" s="24" t="s">
        <v>584</v>
      </c>
      <c r="C179" s="1" t="s">
        <v>659</v>
      </c>
      <c r="D179" s="1" t="s">
        <v>199</v>
      </c>
      <c r="E179" s="1" t="s">
        <v>213</v>
      </c>
      <c r="F179" s="1">
        <v>59</v>
      </c>
      <c r="G179" s="1" t="s">
        <v>221</v>
      </c>
      <c r="H179" s="1" t="s">
        <v>101</v>
      </c>
      <c r="I179" s="2">
        <v>7500</v>
      </c>
      <c r="J179" s="2">
        <f t="shared" si="6"/>
        <v>2142.8571428571427</v>
      </c>
      <c r="K179" s="2" t="s">
        <v>16</v>
      </c>
      <c r="L179" s="1">
        <v>6084854</v>
      </c>
      <c r="M179" s="1">
        <v>497535</v>
      </c>
      <c r="N179" s="25"/>
    </row>
    <row r="180" spans="1:14" ht="24.95" customHeight="1" x14ac:dyDescent="0.25">
      <c r="A180" s="10"/>
      <c r="B180" s="24" t="s">
        <v>585</v>
      </c>
      <c r="C180" s="1" t="s">
        <v>659</v>
      </c>
      <c r="D180" s="1" t="s">
        <v>199</v>
      </c>
      <c r="E180" s="1" t="s">
        <v>222</v>
      </c>
      <c r="F180" s="1">
        <v>69</v>
      </c>
      <c r="G180" s="1" t="s">
        <v>223</v>
      </c>
      <c r="H180" s="1" t="s">
        <v>101</v>
      </c>
      <c r="I180" s="2">
        <v>2000</v>
      </c>
      <c r="J180" s="2">
        <f t="shared" si="6"/>
        <v>571.42857142857144</v>
      </c>
      <c r="K180" s="2" t="s">
        <v>16</v>
      </c>
      <c r="L180" s="1">
        <v>6085168</v>
      </c>
      <c r="M180" s="1">
        <v>497490</v>
      </c>
      <c r="N180" s="25"/>
    </row>
    <row r="181" spans="1:14" ht="24.95" customHeight="1" x14ac:dyDescent="0.25">
      <c r="A181" s="10"/>
      <c r="B181" s="24" t="s">
        <v>586</v>
      </c>
      <c r="C181" s="1" t="s">
        <v>659</v>
      </c>
      <c r="D181" s="1" t="s">
        <v>199</v>
      </c>
      <c r="E181" s="1" t="s">
        <v>224</v>
      </c>
      <c r="F181" s="1">
        <v>37</v>
      </c>
      <c r="G181" s="1" t="s">
        <v>225</v>
      </c>
      <c r="H181" s="1" t="s">
        <v>101</v>
      </c>
      <c r="I181" s="2">
        <v>2500</v>
      </c>
      <c r="J181" s="2">
        <f t="shared" si="6"/>
        <v>714.28571428571433</v>
      </c>
      <c r="K181" s="2" t="s">
        <v>16</v>
      </c>
      <c r="L181" s="1">
        <v>6085530</v>
      </c>
      <c r="M181" s="1">
        <v>497819</v>
      </c>
      <c r="N181" s="25"/>
    </row>
    <row r="182" spans="1:14" ht="24.95" customHeight="1" x14ac:dyDescent="0.25">
      <c r="A182" s="10"/>
      <c r="B182" s="24" t="s">
        <v>587</v>
      </c>
      <c r="C182" s="1" t="s">
        <v>659</v>
      </c>
      <c r="D182" s="1" t="s">
        <v>199</v>
      </c>
      <c r="E182" s="1" t="s">
        <v>215</v>
      </c>
      <c r="F182" s="1">
        <v>39</v>
      </c>
      <c r="G182" s="1" t="s">
        <v>226</v>
      </c>
      <c r="H182" s="1" t="s">
        <v>101</v>
      </c>
      <c r="I182" s="2">
        <v>1000</v>
      </c>
      <c r="J182" s="2">
        <f t="shared" si="6"/>
        <v>285.71428571428572</v>
      </c>
      <c r="K182" s="2" t="s">
        <v>16</v>
      </c>
      <c r="L182" s="1">
        <v>6085591</v>
      </c>
      <c r="M182" s="1">
        <v>497773</v>
      </c>
      <c r="N182" s="25"/>
    </row>
    <row r="183" spans="1:14" ht="24.95" customHeight="1" x14ac:dyDescent="0.25">
      <c r="A183" s="10"/>
      <c r="B183" s="24" t="s">
        <v>588</v>
      </c>
      <c r="C183" s="1" t="s">
        <v>659</v>
      </c>
      <c r="D183" s="1" t="s">
        <v>199</v>
      </c>
      <c r="E183" s="1" t="s">
        <v>222</v>
      </c>
      <c r="F183" s="1">
        <v>67</v>
      </c>
      <c r="G183" s="1" t="s">
        <v>227</v>
      </c>
      <c r="H183" s="1" t="s">
        <v>101</v>
      </c>
      <c r="I183" s="2">
        <v>1000</v>
      </c>
      <c r="J183" s="2">
        <f t="shared" si="6"/>
        <v>285.71428571428572</v>
      </c>
      <c r="K183" s="2" t="s">
        <v>16</v>
      </c>
      <c r="L183" s="1">
        <v>6085251</v>
      </c>
      <c r="M183" s="1">
        <v>497458</v>
      </c>
      <c r="N183" s="25"/>
    </row>
    <row r="184" spans="1:14" ht="24.95" customHeight="1" x14ac:dyDescent="0.25">
      <c r="A184" s="10"/>
      <c r="B184" s="24" t="s">
        <v>589</v>
      </c>
      <c r="C184" s="1" t="s">
        <v>659</v>
      </c>
      <c r="D184" s="1" t="s">
        <v>199</v>
      </c>
      <c r="E184" s="1" t="s">
        <v>222</v>
      </c>
      <c r="F184" s="1">
        <v>71</v>
      </c>
      <c r="G184" s="1" t="s">
        <v>228</v>
      </c>
      <c r="H184" s="1" t="s">
        <v>101</v>
      </c>
      <c r="I184" s="2">
        <v>2000</v>
      </c>
      <c r="J184" s="2">
        <f t="shared" si="6"/>
        <v>571.42857142857144</v>
      </c>
      <c r="K184" s="2" t="s">
        <v>16</v>
      </c>
      <c r="L184" s="1">
        <v>6085091</v>
      </c>
      <c r="M184" s="1">
        <v>497518</v>
      </c>
      <c r="N184" s="25"/>
    </row>
    <row r="185" spans="1:14" ht="24.95" customHeight="1" x14ac:dyDescent="0.25">
      <c r="A185" s="10"/>
      <c r="B185" s="24" t="s">
        <v>590</v>
      </c>
      <c r="C185" s="1" t="s">
        <v>659</v>
      </c>
      <c r="D185" s="1" t="s">
        <v>199</v>
      </c>
      <c r="E185" s="1" t="s">
        <v>229</v>
      </c>
      <c r="F185" s="1">
        <v>9</v>
      </c>
      <c r="G185" s="1" t="s">
        <v>230</v>
      </c>
      <c r="H185" s="1" t="s">
        <v>101</v>
      </c>
      <c r="I185" s="2">
        <v>4000</v>
      </c>
      <c r="J185" s="2">
        <f t="shared" si="6"/>
        <v>1142.8571428571429</v>
      </c>
      <c r="K185" s="2" t="s">
        <v>16</v>
      </c>
      <c r="L185" s="1">
        <v>6085451</v>
      </c>
      <c r="M185" s="1">
        <v>497718</v>
      </c>
      <c r="N185" s="25"/>
    </row>
    <row r="186" spans="1:14" ht="24.95" customHeight="1" x14ac:dyDescent="0.25">
      <c r="A186" s="10"/>
      <c r="B186" s="24" t="s">
        <v>591</v>
      </c>
      <c r="C186" s="1" t="s">
        <v>659</v>
      </c>
      <c r="D186" s="1" t="s">
        <v>199</v>
      </c>
      <c r="E186" s="1" t="s">
        <v>639</v>
      </c>
      <c r="F186" s="1">
        <v>18</v>
      </c>
      <c r="G186" s="1" t="s">
        <v>231</v>
      </c>
      <c r="H186" s="1" t="s">
        <v>101</v>
      </c>
      <c r="I186" s="2">
        <v>1000</v>
      </c>
      <c r="J186" s="2">
        <f t="shared" si="6"/>
        <v>285.71428571428572</v>
      </c>
      <c r="K186" s="2" t="s">
        <v>16</v>
      </c>
      <c r="L186" s="1">
        <v>6085530</v>
      </c>
      <c r="M186" s="1">
        <v>497645</v>
      </c>
      <c r="N186" s="25"/>
    </row>
    <row r="187" spans="1:14" ht="24.95" customHeight="1" x14ac:dyDescent="0.25">
      <c r="A187" s="10"/>
      <c r="B187" s="24" t="s">
        <v>592</v>
      </c>
      <c r="C187" s="1" t="s">
        <v>659</v>
      </c>
      <c r="D187" s="1" t="s">
        <v>199</v>
      </c>
      <c r="E187" s="1" t="s">
        <v>232</v>
      </c>
      <c r="F187" s="1">
        <v>20</v>
      </c>
      <c r="G187" s="1" t="s">
        <v>233</v>
      </c>
      <c r="H187" s="1" t="s">
        <v>101</v>
      </c>
      <c r="I187" s="2">
        <v>1000</v>
      </c>
      <c r="J187" s="2">
        <f t="shared" si="6"/>
        <v>285.71428571428572</v>
      </c>
      <c r="K187" s="2" t="s">
        <v>16</v>
      </c>
      <c r="L187" s="1">
        <v>6085540</v>
      </c>
      <c r="M187" s="1">
        <v>497698</v>
      </c>
      <c r="N187" s="25"/>
    </row>
    <row r="188" spans="1:14" ht="24.95" customHeight="1" x14ac:dyDescent="0.25">
      <c r="A188" s="10"/>
      <c r="B188" s="24" t="s">
        <v>593</v>
      </c>
      <c r="C188" s="1" t="s">
        <v>659</v>
      </c>
      <c r="D188" s="1" t="s">
        <v>199</v>
      </c>
      <c r="E188" s="1" t="s">
        <v>206</v>
      </c>
      <c r="F188" s="1">
        <v>19</v>
      </c>
      <c r="G188" s="1" t="s">
        <v>234</v>
      </c>
      <c r="H188" s="1" t="s">
        <v>101</v>
      </c>
      <c r="I188" s="2">
        <v>13000</v>
      </c>
      <c r="J188" s="2">
        <f t="shared" si="6"/>
        <v>3714.2857142857142</v>
      </c>
      <c r="K188" s="2" t="s">
        <v>16</v>
      </c>
      <c r="L188" s="1">
        <v>6085488</v>
      </c>
      <c r="M188" s="1">
        <v>496869</v>
      </c>
      <c r="N188" s="25"/>
    </row>
    <row r="189" spans="1:14" ht="24.95" customHeight="1" x14ac:dyDescent="0.25">
      <c r="A189" s="10"/>
      <c r="B189" s="24" t="s">
        <v>594</v>
      </c>
      <c r="C189" s="1" t="s">
        <v>659</v>
      </c>
      <c r="D189" s="1" t="s">
        <v>199</v>
      </c>
      <c r="E189" s="1" t="s">
        <v>235</v>
      </c>
      <c r="F189" s="1">
        <v>50</v>
      </c>
      <c r="G189" s="1" t="s">
        <v>236</v>
      </c>
      <c r="H189" s="1" t="s">
        <v>101</v>
      </c>
      <c r="I189" s="2">
        <v>16000</v>
      </c>
      <c r="J189" s="2">
        <f t="shared" si="6"/>
        <v>4571.4285714285716</v>
      </c>
      <c r="K189" s="2" t="s">
        <v>16</v>
      </c>
      <c r="L189" s="1">
        <v>6085321</v>
      </c>
      <c r="M189" s="1">
        <v>497293</v>
      </c>
      <c r="N189" s="25"/>
    </row>
    <row r="190" spans="1:14" ht="24.95" customHeight="1" x14ac:dyDescent="0.25">
      <c r="A190" s="10"/>
      <c r="B190" s="24" t="s">
        <v>595</v>
      </c>
      <c r="C190" s="1" t="s">
        <v>659</v>
      </c>
      <c r="D190" s="1" t="s">
        <v>199</v>
      </c>
      <c r="E190" s="1" t="s">
        <v>235</v>
      </c>
      <c r="F190" s="1">
        <v>56</v>
      </c>
      <c r="G190" s="1" t="s">
        <v>237</v>
      </c>
      <c r="H190" s="1" t="s">
        <v>101</v>
      </c>
      <c r="I190" s="2">
        <v>10000</v>
      </c>
      <c r="J190" s="2">
        <f t="shared" si="6"/>
        <v>2857.1428571428573</v>
      </c>
      <c r="K190" s="2" t="s">
        <v>16</v>
      </c>
      <c r="L190" s="1">
        <v>6084936</v>
      </c>
      <c r="M190" s="1">
        <v>497452</v>
      </c>
      <c r="N190" s="25"/>
    </row>
    <row r="191" spans="1:14" ht="24.95" customHeight="1" x14ac:dyDescent="0.25">
      <c r="A191" s="10"/>
      <c r="B191" s="24" t="s">
        <v>596</v>
      </c>
      <c r="C191" s="1" t="s">
        <v>659</v>
      </c>
      <c r="D191" s="1" t="s">
        <v>199</v>
      </c>
      <c r="E191" s="1" t="s">
        <v>235</v>
      </c>
      <c r="F191" s="1">
        <v>48</v>
      </c>
      <c r="G191" s="1" t="s">
        <v>238</v>
      </c>
      <c r="H191" s="1" t="s">
        <v>101</v>
      </c>
      <c r="I191" s="2">
        <v>11000</v>
      </c>
      <c r="J191" s="2">
        <f t="shared" si="6"/>
        <v>3142.8571428571427</v>
      </c>
      <c r="K191" s="2" t="s">
        <v>16</v>
      </c>
      <c r="L191" s="1">
        <v>6085552</v>
      </c>
      <c r="M191" s="1">
        <v>497183</v>
      </c>
      <c r="N191" s="25"/>
    </row>
    <row r="192" spans="1:14" ht="24.95" customHeight="1" x14ac:dyDescent="0.25">
      <c r="A192" s="10"/>
      <c r="B192" s="24" t="s">
        <v>597</v>
      </c>
      <c r="C192" s="1" t="s">
        <v>659</v>
      </c>
      <c r="D192" s="1" t="s">
        <v>199</v>
      </c>
      <c r="E192" s="1" t="s">
        <v>157</v>
      </c>
      <c r="F192" s="1">
        <v>26</v>
      </c>
      <c r="G192" s="1" t="s">
        <v>239</v>
      </c>
      <c r="H192" s="1" t="s">
        <v>125</v>
      </c>
      <c r="I192" s="2">
        <v>1500</v>
      </c>
      <c r="J192" s="2">
        <f t="shared" si="6"/>
        <v>428.57142857142856</v>
      </c>
      <c r="K192" s="2" t="s">
        <v>25</v>
      </c>
      <c r="L192" s="1">
        <v>6085659</v>
      </c>
      <c r="M192" s="1">
        <v>498396</v>
      </c>
      <c r="N192" s="25"/>
    </row>
    <row r="193" spans="1:14" ht="24.95" customHeight="1" x14ac:dyDescent="0.25">
      <c r="A193" s="10"/>
      <c r="B193" s="24" t="s">
        <v>598</v>
      </c>
      <c r="C193" s="1" t="s">
        <v>659</v>
      </c>
      <c r="D193" s="1" t="s">
        <v>199</v>
      </c>
      <c r="E193" s="1" t="s">
        <v>206</v>
      </c>
      <c r="F193" s="1">
        <v>11</v>
      </c>
      <c r="G193" s="1" t="s">
        <v>240</v>
      </c>
      <c r="H193" s="1" t="s">
        <v>111</v>
      </c>
      <c r="I193" s="2">
        <v>900</v>
      </c>
      <c r="J193" s="2">
        <f t="shared" si="6"/>
        <v>257.14285714285717</v>
      </c>
      <c r="K193" s="2" t="s">
        <v>25</v>
      </c>
      <c r="L193" s="1">
        <v>6085571</v>
      </c>
      <c r="M193" s="1">
        <v>496636</v>
      </c>
      <c r="N193" s="25"/>
    </row>
    <row r="194" spans="1:14" ht="24.95" customHeight="1" x14ac:dyDescent="0.25">
      <c r="A194" s="10"/>
      <c r="B194" s="24" t="s">
        <v>599</v>
      </c>
      <c r="C194" s="1" t="s">
        <v>659</v>
      </c>
      <c r="D194" s="1" t="s">
        <v>258</v>
      </c>
      <c r="E194" s="1" t="s">
        <v>259</v>
      </c>
      <c r="F194" s="1">
        <v>10</v>
      </c>
      <c r="G194" s="1" t="s">
        <v>260</v>
      </c>
      <c r="H194" s="1" t="s">
        <v>260</v>
      </c>
      <c r="I194" s="2">
        <v>370</v>
      </c>
      <c r="J194" s="2">
        <f t="shared" si="6"/>
        <v>105.71428571428571</v>
      </c>
      <c r="K194" s="2" t="s">
        <v>16</v>
      </c>
      <c r="L194" s="1">
        <v>6083737</v>
      </c>
      <c r="M194" s="1">
        <v>500254</v>
      </c>
      <c r="N194" s="25"/>
    </row>
    <row r="195" spans="1:14" ht="24.95" customHeight="1" x14ac:dyDescent="0.25">
      <c r="A195" s="10"/>
      <c r="B195" s="24" t="s">
        <v>600</v>
      </c>
      <c r="C195" s="1" t="s">
        <v>659</v>
      </c>
      <c r="D195" s="1" t="s">
        <v>261</v>
      </c>
      <c r="E195" s="1" t="s">
        <v>262</v>
      </c>
      <c r="F195" s="1">
        <v>10</v>
      </c>
      <c r="G195" s="1" t="s">
        <v>263</v>
      </c>
      <c r="H195" s="1" t="s">
        <v>263</v>
      </c>
      <c r="I195" s="1">
        <v>3200</v>
      </c>
      <c r="J195" s="2">
        <f t="shared" si="6"/>
        <v>914.28571428571433</v>
      </c>
      <c r="K195" s="2" t="s">
        <v>16</v>
      </c>
      <c r="L195" s="1">
        <v>6086156</v>
      </c>
      <c r="M195" s="1">
        <v>504025</v>
      </c>
      <c r="N195" s="25"/>
    </row>
    <row r="196" spans="1:14" ht="24.95" customHeight="1" x14ac:dyDescent="0.25">
      <c r="A196" s="10"/>
      <c r="B196" s="24" t="s">
        <v>601</v>
      </c>
      <c r="C196" s="1" t="s">
        <v>659</v>
      </c>
      <c r="D196" s="1" t="s">
        <v>258</v>
      </c>
      <c r="E196" s="1" t="s">
        <v>264</v>
      </c>
      <c r="F196" s="1">
        <v>118</v>
      </c>
      <c r="G196" s="1" t="s">
        <v>265</v>
      </c>
      <c r="H196" s="1" t="s">
        <v>265</v>
      </c>
      <c r="I196" s="1">
        <v>2400</v>
      </c>
      <c r="J196" s="2">
        <f t="shared" si="6"/>
        <v>685.71428571428567</v>
      </c>
      <c r="K196" s="2" t="s">
        <v>16</v>
      </c>
      <c r="L196" s="1">
        <v>6084006</v>
      </c>
      <c r="M196" s="1">
        <v>500752</v>
      </c>
      <c r="N196" s="25"/>
    </row>
    <row r="197" spans="1:14" ht="24.95" customHeight="1" x14ac:dyDescent="0.25">
      <c r="A197" s="10"/>
      <c r="B197" s="24" t="s">
        <v>602</v>
      </c>
      <c r="C197" s="1" t="s">
        <v>659</v>
      </c>
      <c r="D197" s="1" t="s">
        <v>266</v>
      </c>
      <c r="E197" s="1" t="s">
        <v>267</v>
      </c>
      <c r="F197" s="1" t="s">
        <v>268</v>
      </c>
      <c r="G197" s="1" t="s">
        <v>269</v>
      </c>
      <c r="H197" s="1" t="s">
        <v>269</v>
      </c>
      <c r="I197" s="1">
        <v>1700</v>
      </c>
      <c r="J197" s="2">
        <f t="shared" si="6"/>
        <v>485.71428571428572</v>
      </c>
      <c r="K197" s="2" t="s">
        <v>16</v>
      </c>
      <c r="L197" s="1">
        <v>6086312</v>
      </c>
      <c r="M197" s="1">
        <v>498738</v>
      </c>
      <c r="N197" s="25"/>
    </row>
    <row r="198" spans="1:14" ht="24.95" customHeight="1" x14ac:dyDescent="0.25">
      <c r="A198" s="10"/>
      <c r="B198" s="24" t="s">
        <v>603</v>
      </c>
      <c r="C198" s="1" t="s">
        <v>659</v>
      </c>
      <c r="D198" s="1" t="s">
        <v>261</v>
      </c>
      <c r="E198" s="1" t="s">
        <v>270</v>
      </c>
      <c r="F198" s="1">
        <v>37</v>
      </c>
      <c r="G198" s="1" t="s">
        <v>271</v>
      </c>
      <c r="H198" s="1" t="s">
        <v>271</v>
      </c>
      <c r="I198" s="1">
        <v>2700</v>
      </c>
      <c r="J198" s="2">
        <f t="shared" si="6"/>
        <v>771.42857142857144</v>
      </c>
      <c r="K198" s="2" t="s">
        <v>25</v>
      </c>
      <c r="L198" s="1">
        <v>6085886</v>
      </c>
      <c r="M198" s="1">
        <v>503618</v>
      </c>
      <c r="N198" s="25"/>
    </row>
    <row r="199" spans="1:14" ht="24.95" customHeight="1" x14ac:dyDescent="0.25">
      <c r="A199" s="10"/>
      <c r="B199" s="24" t="s">
        <v>604</v>
      </c>
      <c r="C199" s="1" t="s">
        <v>659</v>
      </c>
      <c r="D199" s="1" t="s">
        <v>258</v>
      </c>
      <c r="E199" s="1" t="s">
        <v>272</v>
      </c>
      <c r="F199" s="1">
        <v>9</v>
      </c>
      <c r="G199" s="1" t="s">
        <v>273</v>
      </c>
      <c r="H199" s="1" t="s">
        <v>273</v>
      </c>
      <c r="I199" s="1">
        <v>2200</v>
      </c>
      <c r="J199" s="2">
        <f t="shared" si="6"/>
        <v>628.57142857142856</v>
      </c>
      <c r="K199" s="2" t="s">
        <v>25</v>
      </c>
      <c r="L199" s="1">
        <v>6084046</v>
      </c>
      <c r="M199" s="1">
        <v>500441</v>
      </c>
      <c r="N199" s="25"/>
    </row>
    <row r="200" spans="1:14" ht="24.95" customHeight="1" x14ac:dyDescent="0.25">
      <c r="A200" s="10"/>
      <c r="B200" s="24" t="s">
        <v>605</v>
      </c>
      <c r="C200" s="1" t="s">
        <v>659</v>
      </c>
      <c r="D200" s="1" t="s">
        <v>258</v>
      </c>
      <c r="E200" s="1" t="s">
        <v>264</v>
      </c>
      <c r="F200" s="1">
        <v>80</v>
      </c>
      <c r="G200" s="1" t="s">
        <v>163</v>
      </c>
      <c r="H200" s="1" t="s">
        <v>162</v>
      </c>
      <c r="I200" s="2">
        <v>450</v>
      </c>
      <c r="J200" s="2">
        <f t="shared" si="6"/>
        <v>128.57142857142858</v>
      </c>
      <c r="K200" s="2" t="s">
        <v>25</v>
      </c>
      <c r="L200" s="1">
        <v>6084031</v>
      </c>
      <c r="M200" s="1">
        <v>499968</v>
      </c>
      <c r="N200" s="25"/>
    </row>
    <row r="201" spans="1:14" ht="24.95" customHeight="1" x14ac:dyDescent="0.25">
      <c r="A201" s="10"/>
      <c r="B201" s="24" t="s">
        <v>606</v>
      </c>
      <c r="C201" s="1" t="s">
        <v>659</v>
      </c>
      <c r="D201" s="1" t="s">
        <v>261</v>
      </c>
      <c r="E201" s="1" t="s">
        <v>270</v>
      </c>
      <c r="F201" s="1">
        <v>24</v>
      </c>
      <c r="G201" s="1" t="s">
        <v>274</v>
      </c>
      <c r="H201" s="1" t="s">
        <v>111</v>
      </c>
      <c r="I201" s="2">
        <v>300</v>
      </c>
      <c r="J201" s="2">
        <f t="shared" ref="J201:J232" si="7">I201/3.5</f>
        <v>85.714285714285708</v>
      </c>
      <c r="K201" s="2" t="s">
        <v>16</v>
      </c>
      <c r="L201" s="1">
        <v>6086097</v>
      </c>
      <c r="M201" s="1">
        <v>503660</v>
      </c>
      <c r="N201" s="25"/>
    </row>
    <row r="202" spans="1:14" ht="24.95" customHeight="1" x14ac:dyDescent="0.25">
      <c r="A202" s="10"/>
      <c r="B202" s="24" t="s">
        <v>607</v>
      </c>
      <c r="C202" s="1" t="s">
        <v>659</v>
      </c>
      <c r="D202" s="1" t="s">
        <v>199</v>
      </c>
      <c r="E202" s="1" t="s">
        <v>656</v>
      </c>
      <c r="F202" s="1">
        <v>26</v>
      </c>
      <c r="G202" s="1" t="s">
        <v>655</v>
      </c>
      <c r="H202" s="1" t="s">
        <v>408</v>
      </c>
      <c r="I202" s="2">
        <v>8688.75</v>
      </c>
      <c r="J202" s="2">
        <f t="shared" si="7"/>
        <v>2482.5</v>
      </c>
      <c r="K202" s="2" t="s">
        <v>25</v>
      </c>
      <c r="L202" s="1">
        <v>6085670</v>
      </c>
      <c r="M202" s="1">
        <v>498394</v>
      </c>
      <c r="N202" s="25"/>
    </row>
    <row r="203" spans="1:14" ht="24.95" customHeight="1" x14ac:dyDescent="0.25">
      <c r="A203" s="10"/>
      <c r="B203" s="24" t="s">
        <v>608</v>
      </c>
      <c r="C203" s="1" t="s">
        <v>292</v>
      </c>
      <c r="D203" s="1" t="s">
        <v>293</v>
      </c>
      <c r="E203" s="1" t="s">
        <v>294</v>
      </c>
      <c r="F203" s="1">
        <v>29</v>
      </c>
      <c r="G203" s="1" t="s">
        <v>295</v>
      </c>
      <c r="H203" s="1" t="s">
        <v>295</v>
      </c>
      <c r="I203" s="1">
        <v>2300</v>
      </c>
      <c r="J203" s="2">
        <f t="shared" si="7"/>
        <v>657.14285714285711</v>
      </c>
      <c r="K203" s="2" t="s">
        <v>16</v>
      </c>
      <c r="L203" s="1">
        <v>6088638</v>
      </c>
      <c r="M203" s="1">
        <v>493245</v>
      </c>
      <c r="N203" s="25"/>
    </row>
    <row r="204" spans="1:14" ht="24.95" customHeight="1" x14ac:dyDescent="0.25">
      <c r="A204" s="10"/>
      <c r="B204" s="24" t="s">
        <v>609</v>
      </c>
      <c r="C204" s="1" t="s">
        <v>292</v>
      </c>
      <c r="D204" s="1" t="s">
        <v>293</v>
      </c>
      <c r="E204" s="1" t="s">
        <v>296</v>
      </c>
      <c r="F204" s="1">
        <v>51</v>
      </c>
      <c r="G204" s="1" t="s">
        <v>297</v>
      </c>
      <c r="H204" s="1" t="s">
        <v>297</v>
      </c>
      <c r="I204" s="2">
        <v>3700</v>
      </c>
      <c r="J204" s="2">
        <f t="shared" si="7"/>
        <v>1057.1428571428571</v>
      </c>
      <c r="K204" s="2" t="s">
        <v>25</v>
      </c>
      <c r="L204" s="1">
        <v>6087856</v>
      </c>
      <c r="M204" s="1">
        <v>492545</v>
      </c>
      <c r="N204" s="25"/>
    </row>
    <row r="205" spans="1:14" ht="24.95" customHeight="1" x14ac:dyDescent="0.25">
      <c r="A205" s="10"/>
      <c r="B205" s="24" t="s">
        <v>610</v>
      </c>
      <c r="C205" s="1" t="s">
        <v>292</v>
      </c>
      <c r="D205" s="1" t="s">
        <v>293</v>
      </c>
      <c r="E205" s="1" t="s">
        <v>294</v>
      </c>
      <c r="F205" s="1">
        <v>28</v>
      </c>
      <c r="G205" s="1" t="s">
        <v>298</v>
      </c>
      <c r="H205" s="1" t="s">
        <v>298</v>
      </c>
      <c r="I205" s="2">
        <v>3700</v>
      </c>
      <c r="J205" s="2">
        <f t="shared" si="7"/>
        <v>1057.1428571428571</v>
      </c>
      <c r="K205" s="2" t="s">
        <v>16</v>
      </c>
      <c r="L205" s="3" t="s">
        <v>299</v>
      </c>
      <c r="M205" s="1">
        <v>493172</v>
      </c>
      <c r="N205" s="25"/>
    </row>
    <row r="206" spans="1:14" ht="24.95" customHeight="1" x14ac:dyDescent="0.25">
      <c r="A206" s="10"/>
      <c r="B206" s="24" t="s">
        <v>611</v>
      </c>
      <c r="C206" s="1" t="s">
        <v>292</v>
      </c>
      <c r="D206" s="1" t="s">
        <v>293</v>
      </c>
      <c r="E206" s="1" t="s">
        <v>300</v>
      </c>
      <c r="F206" s="1">
        <v>103</v>
      </c>
      <c r="G206" s="1" t="s">
        <v>301</v>
      </c>
      <c r="H206" s="1" t="s">
        <v>22</v>
      </c>
      <c r="I206" s="2">
        <v>800</v>
      </c>
      <c r="J206" s="2">
        <f t="shared" si="7"/>
        <v>228.57142857142858</v>
      </c>
      <c r="K206" s="2" t="s">
        <v>25</v>
      </c>
      <c r="L206" s="1">
        <v>6087504</v>
      </c>
      <c r="M206" s="1">
        <v>492084</v>
      </c>
      <c r="N206" s="25"/>
    </row>
    <row r="207" spans="1:14" ht="24.95" customHeight="1" x14ac:dyDescent="0.25">
      <c r="A207" s="10"/>
      <c r="B207" s="24" t="s">
        <v>612</v>
      </c>
      <c r="C207" s="1" t="s">
        <v>292</v>
      </c>
      <c r="D207" s="1" t="s">
        <v>293</v>
      </c>
      <c r="E207" s="1" t="s">
        <v>294</v>
      </c>
      <c r="F207" s="1">
        <v>30</v>
      </c>
      <c r="G207" s="1" t="s">
        <v>302</v>
      </c>
      <c r="H207" s="1" t="s">
        <v>302</v>
      </c>
      <c r="I207" s="1">
        <v>3400</v>
      </c>
      <c r="J207" s="2">
        <f t="shared" si="7"/>
        <v>971.42857142857144</v>
      </c>
      <c r="K207" s="2" t="s">
        <v>25</v>
      </c>
      <c r="L207" s="1">
        <v>6088422</v>
      </c>
      <c r="M207" s="1">
        <v>493148</v>
      </c>
      <c r="N207" s="25"/>
    </row>
    <row r="208" spans="1:14" ht="24.95" customHeight="1" x14ac:dyDescent="0.25">
      <c r="A208" s="10"/>
      <c r="B208" s="24" t="s">
        <v>613</v>
      </c>
      <c r="C208" s="1" t="s">
        <v>292</v>
      </c>
      <c r="D208" s="1" t="s">
        <v>293</v>
      </c>
      <c r="E208" s="1" t="s">
        <v>300</v>
      </c>
      <c r="F208" s="1">
        <v>49</v>
      </c>
      <c r="G208" s="1" t="s">
        <v>303</v>
      </c>
      <c r="H208" s="1" t="s">
        <v>303</v>
      </c>
      <c r="I208" s="1">
        <v>2300</v>
      </c>
      <c r="J208" s="2">
        <f t="shared" si="7"/>
        <v>657.14285714285711</v>
      </c>
      <c r="K208" s="2" t="s">
        <v>16</v>
      </c>
      <c r="L208" s="1">
        <v>6087946</v>
      </c>
      <c r="M208" s="1">
        <v>492465</v>
      </c>
      <c r="N208" s="25"/>
    </row>
    <row r="209" spans="1:14" ht="24.95" customHeight="1" x14ac:dyDescent="0.25">
      <c r="A209" s="10"/>
      <c r="B209" s="24" t="s">
        <v>614</v>
      </c>
      <c r="C209" s="1" t="s">
        <v>292</v>
      </c>
      <c r="D209" s="1" t="s">
        <v>304</v>
      </c>
      <c r="E209" s="1" t="s">
        <v>305</v>
      </c>
      <c r="F209" s="1">
        <v>29</v>
      </c>
      <c r="G209" s="1" t="s">
        <v>306</v>
      </c>
      <c r="H209" s="1" t="s">
        <v>306</v>
      </c>
      <c r="I209" s="1">
        <v>2200</v>
      </c>
      <c r="J209" s="2">
        <f t="shared" si="7"/>
        <v>628.57142857142856</v>
      </c>
      <c r="K209" s="2" t="s">
        <v>16</v>
      </c>
      <c r="L209" s="1">
        <v>6086866</v>
      </c>
      <c r="M209" s="1">
        <v>492643</v>
      </c>
      <c r="N209" s="25"/>
    </row>
    <row r="210" spans="1:14" ht="24.95" customHeight="1" x14ac:dyDescent="0.25">
      <c r="A210" s="10"/>
      <c r="B210" s="24" t="s">
        <v>615</v>
      </c>
      <c r="C210" s="1" t="s">
        <v>292</v>
      </c>
      <c r="D210" s="1" t="s">
        <v>304</v>
      </c>
      <c r="E210" s="1" t="s">
        <v>307</v>
      </c>
      <c r="F210" s="1">
        <v>28</v>
      </c>
      <c r="G210" s="1" t="s">
        <v>308</v>
      </c>
      <c r="H210" s="1" t="s">
        <v>308</v>
      </c>
      <c r="I210" s="1">
        <v>3400</v>
      </c>
      <c r="J210" s="2">
        <f t="shared" si="7"/>
        <v>971.42857142857144</v>
      </c>
      <c r="K210" s="2" t="s">
        <v>16</v>
      </c>
      <c r="L210" s="1">
        <v>6087528</v>
      </c>
      <c r="M210" s="1">
        <v>492722</v>
      </c>
      <c r="N210" s="25"/>
    </row>
    <row r="211" spans="1:14" ht="24.95" customHeight="1" x14ac:dyDescent="0.25">
      <c r="A211" s="10"/>
      <c r="B211" s="24" t="s">
        <v>616</v>
      </c>
      <c r="C211" s="1" t="s">
        <v>292</v>
      </c>
      <c r="D211" s="1" t="s">
        <v>309</v>
      </c>
      <c r="E211" s="1" t="s">
        <v>310</v>
      </c>
      <c r="F211" s="1">
        <v>14</v>
      </c>
      <c r="G211" s="1" t="s">
        <v>311</v>
      </c>
      <c r="H211" s="1" t="s">
        <v>311</v>
      </c>
      <c r="I211" s="1">
        <v>1600</v>
      </c>
      <c r="J211" s="2">
        <f t="shared" si="7"/>
        <v>457.14285714285717</v>
      </c>
      <c r="K211" s="2" t="s">
        <v>16</v>
      </c>
      <c r="L211" s="1">
        <v>6089683</v>
      </c>
      <c r="M211" s="1">
        <v>492506</v>
      </c>
      <c r="N211" s="25"/>
    </row>
    <row r="212" spans="1:14" ht="24.95" customHeight="1" x14ac:dyDescent="0.25">
      <c r="A212" s="10"/>
      <c r="B212" s="24" t="s">
        <v>617</v>
      </c>
      <c r="C212" s="1" t="s">
        <v>292</v>
      </c>
      <c r="D212" s="1" t="s">
        <v>293</v>
      </c>
      <c r="E212" s="1" t="s">
        <v>312</v>
      </c>
      <c r="F212" s="1">
        <v>5</v>
      </c>
      <c r="G212" s="1" t="s">
        <v>313</v>
      </c>
      <c r="H212" s="1" t="s">
        <v>313</v>
      </c>
      <c r="I212" s="1">
        <v>2200</v>
      </c>
      <c r="J212" s="2">
        <f t="shared" si="7"/>
        <v>628.57142857142856</v>
      </c>
      <c r="K212" s="2" t="s">
        <v>16</v>
      </c>
      <c r="L212" s="1">
        <v>6088443</v>
      </c>
      <c r="M212" s="1">
        <v>493715</v>
      </c>
      <c r="N212" s="25"/>
    </row>
    <row r="213" spans="1:14" ht="24.95" customHeight="1" x14ac:dyDescent="0.25">
      <c r="A213" s="10"/>
      <c r="B213" s="24" t="s">
        <v>618</v>
      </c>
      <c r="C213" s="1" t="s">
        <v>292</v>
      </c>
      <c r="D213" s="1" t="s">
        <v>304</v>
      </c>
      <c r="E213" s="1" t="s">
        <v>314</v>
      </c>
      <c r="F213" s="1">
        <v>1</v>
      </c>
      <c r="G213" s="1" t="s">
        <v>315</v>
      </c>
      <c r="H213" s="1" t="s">
        <v>315</v>
      </c>
      <c r="I213" s="1">
        <v>2300</v>
      </c>
      <c r="J213" s="2">
        <f t="shared" si="7"/>
        <v>657.14285714285711</v>
      </c>
      <c r="K213" s="2" t="s">
        <v>16</v>
      </c>
      <c r="L213" s="1">
        <v>6087406</v>
      </c>
      <c r="M213" s="1">
        <v>492255</v>
      </c>
      <c r="N213" s="25"/>
    </row>
    <row r="214" spans="1:14" ht="24.95" customHeight="1" x14ac:dyDescent="0.25">
      <c r="A214" s="10"/>
      <c r="B214" s="24" t="s">
        <v>619</v>
      </c>
      <c r="C214" s="1" t="s">
        <v>292</v>
      </c>
      <c r="D214" s="1" t="s">
        <v>293</v>
      </c>
      <c r="E214" s="1" t="s">
        <v>316</v>
      </c>
      <c r="F214" s="1">
        <v>9</v>
      </c>
      <c r="G214" s="1" t="s">
        <v>317</v>
      </c>
      <c r="H214" s="1" t="s">
        <v>317</v>
      </c>
      <c r="I214" s="1">
        <v>2200</v>
      </c>
      <c r="J214" s="2">
        <f t="shared" si="7"/>
        <v>628.57142857142856</v>
      </c>
      <c r="K214" s="2" t="s">
        <v>16</v>
      </c>
      <c r="L214" s="1">
        <v>6088536</v>
      </c>
      <c r="M214" s="1">
        <v>493882</v>
      </c>
      <c r="N214" s="25"/>
    </row>
    <row r="215" spans="1:14" ht="24.95" customHeight="1" x14ac:dyDescent="0.25">
      <c r="A215" s="10"/>
      <c r="B215" s="24" t="s">
        <v>620</v>
      </c>
      <c r="C215" s="1" t="s">
        <v>292</v>
      </c>
      <c r="D215" s="1" t="s">
        <v>293</v>
      </c>
      <c r="E215" s="1" t="s">
        <v>294</v>
      </c>
      <c r="F215" s="1">
        <v>21</v>
      </c>
      <c r="G215" s="1" t="s">
        <v>318</v>
      </c>
      <c r="H215" s="1" t="s">
        <v>318</v>
      </c>
      <c r="I215" s="1">
        <v>2300</v>
      </c>
      <c r="J215" s="2">
        <f t="shared" si="7"/>
        <v>657.14285714285711</v>
      </c>
      <c r="K215" s="2" t="s">
        <v>16</v>
      </c>
      <c r="L215" s="1">
        <v>6088647</v>
      </c>
      <c r="M215" s="1">
        <v>493083</v>
      </c>
      <c r="N215" s="25"/>
    </row>
    <row r="216" spans="1:14" ht="24.95" customHeight="1" x14ac:dyDescent="0.25">
      <c r="A216" s="10"/>
      <c r="B216" s="24" t="s">
        <v>621</v>
      </c>
      <c r="C216" s="1" t="s">
        <v>292</v>
      </c>
      <c r="D216" s="1" t="s">
        <v>304</v>
      </c>
      <c r="E216" s="1" t="s">
        <v>307</v>
      </c>
      <c r="F216" s="1">
        <v>30</v>
      </c>
      <c r="G216" s="1" t="s">
        <v>319</v>
      </c>
      <c r="H216" s="1" t="s">
        <v>319</v>
      </c>
      <c r="I216" s="1">
        <v>3100</v>
      </c>
      <c r="J216" s="2">
        <f t="shared" si="7"/>
        <v>885.71428571428567</v>
      </c>
      <c r="K216" s="2" t="s">
        <v>25</v>
      </c>
      <c r="L216" s="1">
        <v>6087692</v>
      </c>
      <c r="M216" s="1">
        <v>492650</v>
      </c>
      <c r="N216" s="25"/>
    </row>
    <row r="217" spans="1:14" ht="24.95" customHeight="1" x14ac:dyDescent="0.25">
      <c r="A217" s="10"/>
      <c r="B217" s="24" t="s">
        <v>622</v>
      </c>
      <c r="C217" s="1" t="s">
        <v>292</v>
      </c>
      <c r="D217" s="1" t="s">
        <v>293</v>
      </c>
      <c r="E217" s="1" t="s">
        <v>316</v>
      </c>
      <c r="F217" s="1">
        <v>1</v>
      </c>
      <c r="G217" s="1" t="s">
        <v>320</v>
      </c>
      <c r="H217" s="1" t="s">
        <v>320</v>
      </c>
      <c r="I217" s="1">
        <v>2200</v>
      </c>
      <c r="J217" s="2">
        <f t="shared" si="7"/>
        <v>628.57142857142856</v>
      </c>
      <c r="K217" s="2" t="s">
        <v>16</v>
      </c>
      <c r="L217" s="1">
        <v>6088315</v>
      </c>
      <c r="M217" s="1">
        <v>493535</v>
      </c>
      <c r="N217" s="25"/>
    </row>
    <row r="218" spans="1:14" ht="24.95" customHeight="1" x14ac:dyDescent="0.25">
      <c r="A218" s="10"/>
      <c r="B218" s="24" t="s">
        <v>623</v>
      </c>
      <c r="C218" s="1" t="s">
        <v>292</v>
      </c>
      <c r="D218" s="1" t="s">
        <v>304</v>
      </c>
      <c r="E218" s="1" t="s">
        <v>305</v>
      </c>
      <c r="F218" s="1">
        <v>11</v>
      </c>
      <c r="G218" s="1" t="s">
        <v>321</v>
      </c>
      <c r="H218" s="1" t="s">
        <v>321</v>
      </c>
      <c r="I218" s="1">
        <v>6700</v>
      </c>
      <c r="J218" s="2">
        <f t="shared" si="7"/>
        <v>1914.2857142857142</v>
      </c>
      <c r="K218" s="2" t="s">
        <v>25</v>
      </c>
      <c r="L218" s="1">
        <v>6086809</v>
      </c>
      <c r="M218" s="1">
        <v>492482</v>
      </c>
      <c r="N218" s="25"/>
    </row>
    <row r="219" spans="1:14" ht="24.95" customHeight="1" x14ac:dyDescent="0.25">
      <c r="A219" s="10"/>
      <c r="B219" s="24" t="s">
        <v>624</v>
      </c>
      <c r="C219" s="1" t="s">
        <v>292</v>
      </c>
      <c r="D219" s="1" t="s">
        <v>309</v>
      </c>
      <c r="E219" s="1" t="s">
        <v>322</v>
      </c>
      <c r="F219" s="1">
        <v>51</v>
      </c>
      <c r="G219" s="1" t="s">
        <v>323</v>
      </c>
      <c r="H219" s="1" t="s">
        <v>323</v>
      </c>
      <c r="I219" s="1">
        <v>1700</v>
      </c>
      <c r="J219" s="2">
        <f t="shared" si="7"/>
        <v>485.71428571428572</v>
      </c>
      <c r="K219" s="2" t="s">
        <v>25</v>
      </c>
      <c r="L219" s="1">
        <v>6090516</v>
      </c>
      <c r="M219" s="1">
        <v>492879</v>
      </c>
      <c r="N219" s="25"/>
    </row>
    <row r="220" spans="1:14" ht="24.95" customHeight="1" x14ac:dyDescent="0.25">
      <c r="A220" s="10"/>
      <c r="B220" s="24" t="s">
        <v>625</v>
      </c>
      <c r="C220" s="1" t="s">
        <v>292</v>
      </c>
      <c r="D220" s="1" t="s">
        <v>293</v>
      </c>
      <c r="E220" s="1" t="s">
        <v>324</v>
      </c>
      <c r="F220" s="1">
        <v>1</v>
      </c>
      <c r="G220" s="1" t="s">
        <v>325</v>
      </c>
      <c r="H220" s="1" t="s">
        <v>325</v>
      </c>
      <c r="I220" s="1">
        <v>6900</v>
      </c>
      <c r="J220" s="2">
        <f t="shared" si="7"/>
        <v>1971.4285714285713</v>
      </c>
      <c r="K220" s="2" t="s">
        <v>25</v>
      </c>
      <c r="L220" s="1">
        <v>6088512</v>
      </c>
      <c r="M220" s="1">
        <v>493533</v>
      </c>
      <c r="N220" s="25"/>
    </row>
    <row r="221" spans="1:14" ht="24.95" customHeight="1" x14ac:dyDescent="0.25">
      <c r="A221" s="10"/>
      <c r="B221" s="24" t="s">
        <v>626</v>
      </c>
      <c r="C221" s="1" t="s">
        <v>292</v>
      </c>
      <c r="D221" s="1" t="s">
        <v>293</v>
      </c>
      <c r="E221" s="1" t="s">
        <v>294</v>
      </c>
      <c r="F221" s="1">
        <v>24</v>
      </c>
      <c r="G221" s="1" t="s">
        <v>326</v>
      </c>
      <c r="H221" s="1" t="s">
        <v>326</v>
      </c>
      <c r="I221" s="1">
        <v>2300</v>
      </c>
      <c r="J221" s="2">
        <f t="shared" si="7"/>
        <v>657.14285714285711</v>
      </c>
      <c r="K221" s="2" t="s">
        <v>16</v>
      </c>
      <c r="L221" s="1">
        <v>6088524</v>
      </c>
      <c r="M221" s="1">
        <v>493064</v>
      </c>
      <c r="N221" s="25"/>
    </row>
    <row r="222" spans="1:14" ht="24.95" customHeight="1" x14ac:dyDescent="0.25">
      <c r="A222" s="10"/>
      <c r="B222" s="24" t="s">
        <v>627</v>
      </c>
      <c r="C222" s="1" t="s">
        <v>292</v>
      </c>
      <c r="D222" s="1" t="s">
        <v>304</v>
      </c>
      <c r="E222" s="1" t="s">
        <v>305</v>
      </c>
      <c r="F222" s="1">
        <v>44</v>
      </c>
      <c r="G222" s="1" t="s">
        <v>327</v>
      </c>
      <c r="H222" s="1" t="s">
        <v>648</v>
      </c>
      <c r="I222" s="2">
        <v>500</v>
      </c>
      <c r="J222" s="2">
        <f t="shared" si="7"/>
        <v>142.85714285714286</v>
      </c>
      <c r="K222" s="2" t="s">
        <v>16</v>
      </c>
      <c r="L222" s="1">
        <v>6086667</v>
      </c>
      <c r="M222" s="1">
        <v>492495</v>
      </c>
      <c r="N222" s="25"/>
    </row>
    <row r="223" spans="1:14" ht="24.95" customHeight="1" x14ac:dyDescent="0.25">
      <c r="A223" s="10"/>
      <c r="B223" s="24" t="s">
        <v>628</v>
      </c>
      <c r="C223" s="1" t="s">
        <v>292</v>
      </c>
      <c r="D223" s="1" t="s">
        <v>293</v>
      </c>
      <c r="E223" s="1" t="s">
        <v>328</v>
      </c>
      <c r="F223" s="1">
        <v>18</v>
      </c>
      <c r="G223" s="1" t="s">
        <v>329</v>
      </c>
      <c r="H223" s="1" t="s">
        <v>111</v>
      </c>
      <c r="I223" s="2">
        <v>590</v>
      </c>
      <c r="J223" s="2">
        <f t="shared" si="7"/>
        <v>168.57142857142858</v>
      </c>
      <c r="K223" s="2" t="s">
        <v>25</v>
      </c>
      <c r="L223" s="1">
        <v>6087599</v>
      </c>
      <c r="M223" s="1">
        <v>493245</v>
      </c>
      <c r="N223" s="25"/>
    </row>
    <row r="224" spans="1:14" ht="24.95" customHeight="1" x14ac:dyDescent="0.25">
      <c r="A224" s="10"/>
      <c r="B224" s="24" t="s">
        <v>629</v>
      </c>
      <c r="C224" s="1" t="s">
        <v>292</v>
      </c>
      <c r="D224" s="1" t="s">
        <v>293</v>
      </c>
      <c r="E224" s="1" t="s">
        <v>300</v>
      </c>
      <c r="F224" s="1">
        <v>7</v>
      </c>
      <c r="G224" s="1" t="s">
        <v>415</v>
      </c>
      <c r="H224" s="1" t="s">
        <v>126</v>
      </c>
      <c r="I224" s="2">
        <v>12000</v>
      </c>
      <c r="J224" s="2">
        <f t="shared" si="7"/>
        <v>3428.5714285714284</v>
      </c>
      <c r="K224" s="2" t="s">
        <v>16</v>
      </c>
      <c r="L224" s="1">
        <v>6088302</v>
      </c>
      <c r="M224" s="1">
        <v>492904</v>
      </c>
      <c r="N224" s="25"/>
    </row>
    <row r="225" spans="1:14" ht="24.95" customHeight="1" x14ac:dyDescent="0.25">
      <c r="A225" s="10"/>
      <c r="B225" s="24" t="s">
        <v>630</v>
      </c>
      <c r="C225" s="1" t="s">
        <v>330</v>
      </c>
      <c r="D225" s="1" t="s">
        <v>331</v>
      </c>
      <c r="E225" s="1" t="s">
        <v>332</v>
      </c>
      <c r="F225" s="1">
        <v>36</v>
      </c>
      <c r="G225" s="1" t="s">
        <v>333</v>
      </c>
      <c r="H225" s="1" t="s">
        <v>333</v>
      </c>
      <c r="I225" s="1">
        <v>5000</v>
      </c>
      <c r="J225" s="2">
        <f t="shared" si="7"/>
        <v>1428.5714285714287</v>
      </c>
      <c r="K225" s="2" t="s">
        <v>25</v>
      </c>
      <c r="L225" s="1">
        <v>6086828</v>
      </c>
      <c r="M225" s="1">
        <v>493819</v>
      </c>
      <c r="N225" s="25"/>
    </row>
    <row r="226" spans="1:14" ht="24.95" customHeight="1" x14ac:dyDescent="0.25">
      <c r="A226" s="10"/>
      <c r="B226" s="24" t="s">
        <v>631</v>
      </c>
      <c r="C226" s="1" t="s">
        <v>330</v>
      </c>
      <c r="D226" s="1" t="s">
        <v>331</v>
      </c>
      <c r="E226" s="1" t="s">
        <v>334</v>
      </c>
      <c r="F226" s="1">
        <v>49</v>
      </c>
      <c r="G226" s="1" t="s">
        <v>335</v>
      </c>
      <c r="H226" s="1" t="s">
        <v>335</v>
      </c>
      <c r="I226" s="1">
        <v>1200</v>
      </c>
      <c r="J226" s="2">
        <f t="shared" si="7"/>
        <v>342.85714285714283</v>
      </c>
      <c r="K226" s="2" t="s">
        <v>16</v>
      </c>
      <c r="L226" s="1">
        <v>6086599</v>
      </c>
      <c r="M226" s="1">
        <v>493884</v>
      </c>
      <c r="N226" s="25"/>
    </row>
    <row r="227" spans="1:14" ht="24.95" customHeight="1" x14ac:dyDescent="0.25">
      <c r="A227" s="10"/>
      <c r="B227" s="24" t="s">
        <v>632</v>
      </c>
      <c r="C227" s="1" t="s">
        <v>330</v>
      </c>
      <c r="D227" s="1" t="s">
        <v>336</v>
      </c>
      <c r="E227" s="1" t="s">
        <v>337</v>
      </c>
      <c r="F227" s="1">
        <v>31</v>
      </c>
      <c r="G227" s="1" t="s">
        <v>338</v>
      </c>
      <c r="H227" s="1" t="s">
        <v>338</v>
      </c>
      <c r="I227" s="1">
        <v>2200</v>
      </c>
      <c r="J227" s="2">
        <f t="shared" si="7"/>
        <v>628.57142857142856</v>
      </c>
      <c r="K227" s="2" t="s">
        <v>16</v>
      </c>
      <c r="L227" s="1">
        <v>6087153</v>
      </c>
      <c r="M227" s="1">
        <v>493237</v>
      </c>
      <c r="N227" s="25"/>
    </row>
    <row r="228" spans="1:14" ht="24.95" customHeight="1" x14ac:dyDescent="0.25">
      <c r="A228" s="10"/>
      <c r="B228" s="24" t="s">
        <v>633</v>
      </c>
      <c r="C228" s="1" t="s">
        <v>330</v>
      </c>
      <c r="D228" s="1" t="s">
        <v>640</v>
      </c>
      <c r="E228" s="1" t="s">
        <v>339</v>
      </c>
      <c r="F228" s="1">
        <v>12</v>
      </c>
      <c r="G228" s="1" t="s">
        <v>340</v>
      </c>
      <c r="H228" s="1" t="s">
        <v>340</v>
      </c>
      <c r="I228" s="2">
        <v>507</v>
      </c>
      <c r="J228" s="2">
        <f t="shared" si="7"/>
        <v>144.85714285714286</v>
      </c>
      <c r="K228" s="2" t="s">
        <v>16</v>
      </c>
      <c r="L228" s="1">
        <v>6086153</v>
      </c>
      <c r="M228" s="1">
        <v>493213</v>
      </c>
      <c r="N228" s="25"/>
    </row>
    <row r="229" spans="1:14" s="14" customFormat="1" ht="24.95" customHeight="1" x14ac:dyDescent="0.25">
      <c r="A229" s="13"/>
      <c r="B229" s="24" t="s">
        <v>634</v>
      </c>
      <c r="C229" s="1" t="s">
        <v>330</v>
      </c>
      <c r="D229" s="1" t="s">
        <v>640</v>
      </c>
      <c r="E229" s="1" t="s">
        <v>341</v>
      </c>
      <c r="F229" s="1">
        <v>61</v>
      </c>
      <c r="G229" s="1" t="s">
        <v>172</v>
      </c>
      <c r="H229" s="1" t="s">
        <v>172</v>
      </c>
      <c r="I229" s="1">
        <v>1200</v>
      </c>
      <c r="J229" s="2">
        <f t="shared" si="7"/>
        <v>342.85714285714283</v>
      </c>
      <c r="K229" s="2" t="s">
        <v>25</v>
      </c>
      <c r="L229" s="1">
        <v>6086343</v>
      </c>
      <c r="M229" s="1">
        <v>493145</v>
      </c>
      <c r="N229" s="25"/>
    </row>
    <row r="230" spans="1:14" ht="24.95" customHeight="1" x14ac:dyDescent="0.25">
      <c r="A230" s="10"/>
      <c r="B230" s="24" t="s">
        <v>635</v>
      </c>
      <c r="C230" s="1" t="s">
        <v>330</v>
      </c>
      <c r="D230" s="1" t="s">
        <v>336</v>
      </c>
      <c r="E230" s="1" t="s">
        <v>342</v>
      </c>
      <c r="F230" s="1">
        <v>6</v>
      </c>
      <c r="G230" s="1" t="s">
        <v>343</v>
      </c>
      <c r="H230" s="1" t="s">
        <v>343</v>
      </c>
      <c r="I230" s="1">
        <v>3500</v>
      </c>
      <c r="J230" s="2">
        <f t="shared" si="7"/>
        <v>1000</v>
      </c>
      <c r="K230" s="2" t="s">
        <v>25</v>
      </c>
      <c r="L230" s="1">
        <v>6086137</v>
      </c>
      <c r="M230" s="1">
        <v>490747</v>
      </c>
      <c r="N230" s="25"/>
    </row>
    <row r="231" spans="1:14" ht="24.95" customHeight="1" x14ac:dyDescent="0.25">
      <c r="A231" s="10"/>
      <c r="B231" s="24" t="s">
        <v>636</v>
      </c>
      <c r="C231" s="1" t="s">
        <v>330</v>
      </c>
      <c r="D231" s="1" t="s">
        <v>331</v>
      </c>
      <c r="E231" s="1" t="s">
        <v>344</v>
      </c>
      <c r="F231" s="1">
        <v>18</v>
      </c>
      <c r="G231" s="1" t="s">
        <v>345</v>
      </c>
      <c r="H231" s="1" t="s">
        <v>108</v>
      </c>
      <c r="I231" s="2">
        <v>900</v>
      </c>
      <c r="J231" s="2">
        <f t="shared" si="7"/>
        <v>257.14285714285717</v>
      </c>
      <c r="K231" s="2" t="s">
        <v>16</v>
      </c>
      <c r="L231" s="1">
        <v>6085930</v>
      </c>
      <c r="M231" s="1">
        <v>492205</v>
      </c>
      <c r="N231" s="25"/>
    </row>
    <row r="232" spans="1:14" ht="24.95" customHeight="1" x14ac:dyDescent="0.25">
      <c r="A232" s="10"/>
      <c r="B232" s="24" t="s">
        <v>669</v>
      </c>
      <c r="C232" s="32" t="s">
        <v>330</v>
      </c>
      <c r="D232" s="32" t="s">
        <v>331</v>
      </c>
      <c r="E232" s="32" t="s">
        <v>346</v>
      </c>
      <c r="F232" s="32">
        <v>72</v>
      </c>
      <c r="G232" s="32" t="s">
        <v>347</v>
      </c>
      <c r="H232" s="32" t="s">
        <v>111</v>
      </c>
      <c r="I232" s="33">
        <v>175</v>
      </c>
      <c r="J232" s="33">
        <f t="shared" si="7"/>
        <v>50</v>
      </c>
      <c r="K232" s="33" t="s">
        <v>16</v>
      </c>
      <c r="L232" s="32">
        <v>6086321</v>
      </c>
      <c r="M232" s="32">
        <v>492947</v>
      </c>
      <c r="N232" s="39"/>
    </row>
    <row r="233" spans="1:14" ht="24.95" customHeight="1" x14ac:dyDescent="0.25">
      <c r="A233" s="10"/>
      <c r="B233" s="24" t="s">
        <v>670</v>
      </c>
      <c r="C233" s="37" t="s">
        <v>663</v>
      </c>
      <c r="D233" s="37" t="s">
        <v>664</v>
      </c>
      <c r="E233" s="37" t="s">
        <v>45</v>
      </c>
      <c r="F233" s="37">
        <v>50</v>
      </c>
      <c r="G233" s="37" t="s">
        <v>642</v>
      </c>
      <c r="H233" s="37" t="s">
        <v>22</v>
      </c>
      <c r="I233" s="38">
        <v>22500</v>
      </c>
      <c r="J233" s="38">
        <f t="shared" ref="J233:J264" si="8">I233/3.5</f>
        <v>6428.5714285714284</v>
      </c>
      <c r="K233" s="38" t="s">
        <v>25</v>
      </c>
      <c r="L233" s="37">
        <v>6083798</v>
      </c>
      <c r="M233" s="37">
        <v>494519</v>
      </c>
      <c r="N233" s="39"/>
    </row>
    <row r="234" spans="1:14" ht="24.95" customHeight="1" thickBot="1" x14ac:dyDescent="0.3">
      <c r="A234" s="10"/>
      <c r="B234" s="27"/>
      <c r="C234" s="28"/>
      <c r="D234" s="28"/>
      <c r="E234" s="28"/>
      <c r="F234" s="28"/>
      <c r="G234" s="28"/>
      <c r="H234" s="28" t="s">
        <v>392</v>
      </c>
      <c r="I234" s="29">
        <f ca="1">SUM(I11:I234)</f>
        <v>541184.78</v>
      </c>
      <c r="J234" s="29">
        <f ca="1">SUM(J11:J234)</f>
        <v>154624.50857142854</v>
      </c>
      <c r="K234" s="28"/>
      <c r="L234" s="28"/>
      <c r="M234" s="28"/>
      <c r="N234" s="30"/>
    </row>
    <row r="235" spans="1:14" x14ac:dyDescent="0.25">
      <c r="A235" s="10"/>
    </row>
    <row r="236" spans="1:14" x14ac:dyDescent="0.25">
      <c r="A236" s="10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</row>
    <row r="237" spans="1:14" x14ac:dyDescent="0.25">
      <c r="A237" s="10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</row>
    <row r="238" spans="1:14" ht="22.5" customHeight="1" thickBot="1" x14ac:dyDescent="0.3">
      <c r="A238" s="10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</row>
    <row r="239" spans="1:14" ht="54.95" customHeight="1" thickBot="1" x14ac:dyDescent="0.3">
      <c r="A239" s="10"/>
      <c r="B239" s="15"/>
      <c r="C239" s="15"/>
      <c r="D239" s="15"/>
      <c r="E239" s="16" t="s">
        <v>393</v>
      </c>
      <c r="F239" s="4">
        <f>F241*3.5</f>
        <v>418629.75</v>
      </c>
      <c r="G239" s="15"/>
      <c r="J239" s="15"/>
      <c r="K239" s="15"/>
      <c r="L239" s="15"/>
      <c r="M239" s="15"/>
      <c r="N239" s="15"/>
    </row>
    <row r="240" spans="1:14" ht="54.95" customHeight="1" thickBot="1" x14ac:dyDescent="0.3">
      <c r="A240" s="10"/>
      <c r="B240" s="15"/>
      <c r="C240" s="15"/>
      <c r="D240" s="15"/>
      <c r="E240" s="16" t="s">
        <v>394</v>
      </c>
      <c r="F240" s="5"/>
      <c r="G240" s="15"/>
      <c r="J240" s="15"/>
      <c r="K240" s="15"/>
      <c r="L240" s="15"/>
      <c r="M240" s="15"/>
      <c r="N240" s="15"/>
    </row>
    <row r="241" spans="1:14" ht="54.95" customHeight="1" thickBot="1" x14ac:dyDescent="0.3">
      <c r="A241" s="10"/>
      <c r="B241" s="15"/>
      <c r="C241" s="15"/>
      <c r="D241" s="15"/>
      <c r="E241" s="16" t="s">
        <v>395</v>
      </c>
      <c r="F241" s="17">
        <f>SUM(F246+F245+F244+F242)</f>
        <v>119608.5</v>
      </c>
      <c r="G241" s="15"/>
      <c r="J241" s="15"/>
      <c r="K241" s="15"/>
      <c r="L241" s="15"/>
      <c r="M241" s="15"/>
      <c r="N241" s="15"/>
    </row>
    <row r="242" spans="1:14" ht="54.95" customHeight="1" thickBot="1" x14ac:dyDescent="0.3">
      <c r="A242" s="10"/>
      <c r="B242" s="15"/>
      <c r="C242" s="15"/>
      <c r="D242" s="15"/>
      <c r="E242" s="16" t="s">
        <v>396</v>
      </c>
      <c r="F242" s="5">
        <f>F243*0.25</f>
        <v>75994.5</v>
      </c>
      <c r="G242" s="15"/>
      <c r="J242" s="6"/>
      <c r="K242" s="15"/>
      <c r="L242" s="15"/>
      <c r="M242" s="15"/>
      <c r="N242" s="15"/>
    </row>
    <row r="243" spans="1:14" ht="54.95" customHeight="1" thickBot="1" x14ac:dyDescent="0.3">
      <c r="A243" s="10"/>
      <c r="B243" s="15"/>
      <c r="C243" s="15"/>
      <c r="D243" s="15"/>
      <c r="E243" s="16" t="s">
        <v>397</v>
      </c>
      <c r="F243" s="5">
        <v>303978</v>
      </c>
      <c r="G243" s="15"/>
      <c r="J243" s="18"/>
      <c r="K243" s="19"/>
      <c r="L243" s="15"/>
      <c r="M243" s="15"/>
      <c r="N243" s="15"/>
    </row>
    <row r="244" spans="1:14" ht="54.95" customHeight="1" thickBot="1" x14ac:dyDescent="0.3">
      <c r="A244" s="10"/>
      <c r="B244" s="15"/>
      <c r="C244" s="15"/>
      <c r="D244" s="15"/>
      <c r="E244" s="16" t="s">
        <v>398</v>
      </c>
      <c r="F244" s="5">
        <v>21605</v>
      </c>
      <c r="G244" s="15"/>
      <c r="J244" s="15"/>
      <c r="K244" s="15"/>
      <c r="L244" s="15"/>
      <c r="M244" s="15"/>
      <c r="N244" s="15"/>
    </row>
    <row r="245" spans="1:14" ht="54.95" customHeight="1" thickBot="1" x14ac:dyDescent="0.3">
      <c r="A245" s="10"/>
      <c r="B245" s="15"/>
      <c r="C245" s="15"/>
      <c r="D245" s="15"/>
      <c r="E245" s="16" t="s">
        <v>399</v>
      </c>
      <c r="F245" s="5">
        <v>19197</v>
      </c>
      <c r="G245" s="15"/>
      <c r="J245" s="15"/>
      <c r="K245" s="15"/>
      <c r="L245" s="15"/>
      <c r="M245" s="15"/>
      <c r="N245" s="15"/>
    </row>
    <row r="246" spans="1:14" ht="54.95" customHeight="1" thickBot="1" x14ac:dyDescent="0.3">
      <c r="A246" s="10"/>
      <c r="B246" s="15"/>
      <c r="C246" s="15"/>
      <c r="D246" s="15"/>
      <c r="E246" s="16" t="s">
        <v>400</v>
      </c>
      <c r="F246" s="5">
        <v>2812</v>
      </c>
      <c r="G246" s="15"/>
      <c r="J246" s="15"/>
      <c r="K246" s="15"/>
      <c r="L246" s="15"/>
      <c r="M246" s="15"/>
      <c r="N246" s="15"/>
    </row>
    <row r="247" spans="1:14" x14ac:dyDescent="0.25">
      <c r="A247" s="10"/>
      <c r="B247" s="10"/>
      <c r="C247" s="10"/>
      <c r="D247" s="10"/>
      <c r="E247" s="10"/>
      <c r="F247" s="10"/>
      <c r="G247" s="10"/>
      <c r="H247" s="10"/>
      <c r="I247" s="20"/>
      <c r="J247" s="20"/>
      <c r="K247" s="10"/>
      <c r="L247" s="10"/>
      <c r="M247" s="10"/>
      <c r="N247" s="10"/>
    </row>
    <row r="248" spans="1:14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x14ac:dyDescent="0.25"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x14ac:dyDescent="0.25">
      <c r="H250" s="7" t="s">
        <v>402</v>
      </c>
    </row>
    <row r="269" spans="5:5" x14ac:dyDescent="0.25">
      <c r="E269" s="7" t="s">
        <v>405</v>
      </c>
    </row>
  </sheetData>
  <sortState xmlns:xlrd2="http://schemas.microsoft.com/office/spreadsheetml/2017/richdata2" ref="C12:N233">
    <sortCondition ref="C11:C233"/>
  </sortState>
  <mergeCells count="1">
    <mergeCell ref="H5:N5"/>
  </mergeCells>
  <printOptions horizontalCentered="1"/>
  <pageMargins left="0.98425196850393704" right="0.19685039370078741" top="0.59055118110236227" bottom="0.19685039370078741" header="0.31496062992125984" footer="0.31496062992125984"/>
  <pageSetup paperSize="9" scale="65" fitToHeight="0" orientation="landscape" horizontalDpi="300" verticalDpi="300" r:id="rId1"/>
  <headerFooter differentFirst="1">
    <oddHeader>&amp;C&amp;P</oddHeader>
    <oddFooter xml:space="preserve">&amp;L
</oddFooter>
  </headerFooter>
  <rowBreaks count="5" manualBreakCount="5">
    <brk id="44" min="1" max="13" man="1"/>
    <brk id="88" min="1" max="13" man="1"/>
    <brk id="133" min="1" max="13" man="1"/>
    <brk id="169" min="1" max="13" man="1"/>
    <brk id="213" min="1" max="13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Lapas1</vt:lpstr>
      <vt:lpstr>Lapas1!Print_Area</vt:lpstr>
    </vt:vector>
  </TitlesOfParts>
  <Company>Kauno miesto savivaldybės administracija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PRIEDAS</dc:title>
  <dc:subject>KAUNO MIESTO SAVIVALDYBĖS KOLEKTYVINĖS APSAUGOS STATINIŲ IR JŲ POREIKIO SĄRAŠAS</dc:subject>
  <dc:creator>Viešosios tvarkos skyrius</dc:creator>
  <cp:lastModifiedBy>Mantvydas Vidugiris</cp:lastModifiedBy>
  <cp:lastPrinted>2025-06-05T07:08:49Z</cp:lastPrinted>
  <dcterms:created xsi:type="dcterms:W3CDTF">2024-05-16T07:14:04Z</dcterms:created>
  <dcterms:modified xsi:type="dcterms:W3CDTF">2026-03-03T07:11:54Z</dcterms:modified>
</cp:coreProperties>
</file>