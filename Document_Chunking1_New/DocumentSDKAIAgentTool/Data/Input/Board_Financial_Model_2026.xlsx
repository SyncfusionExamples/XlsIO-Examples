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HarsonJamesHenso\Downloads\"/>
    </mc:Choice>
  </mc:AlternateContent>
  <xr:revisionPtr revIDLastSave="0" documentId="8_{74A881BA-E38E-4930-881F-20CDE4163B83}" xr6:coauthVersionLast="47" xr6:coauthVersionMax="47" xr10:uidLastSave="{00000000-0000-0000-0000-000000000000}"/>
  <bookViews>
    <workbookView xWindow="-108" yWindow="-108" windowWidth="23256" windowHeight="12456" activeTab="2" xr2:uid="{9CCA0D22-AAF9-4F97-B142-DF9821367E6A}"/>
  </bookViews>
  <sheets>
    <sheet name="Assumptions" sheetId="1" r:id="rId1"/>
    <sheet name="Projections" sheetId="2" r:id="rId2"/>
    <sheet name="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 l="1"/>
  <c r="C2" i="2"/>
  <c r="D2" i="2" l="1"/>
  <c r="B4" i="2"/>
  <c r="C3" i="2"/>
  <c r="D3" i="2" s="1"/>
  <c r="B5" i="2" l="1"/>
  <c r="C4" i="2"/>
  <c r="D4" i="2" s="1"/>
  <c r="B2" i="3" l="1"/>
  <c r="B6" i="2"/>
  <c r="C5" i="2"/>
  <c r="B3" i="3" l="1"/>
  <c r="D5" i="2"/>
  <c r="D6" i="2"/>
  <c r="C6" i="2"/>
  <c r="B4" i="3" l="1"/>
</calcChain>
</file>

<file path=xl/sharedStrings.xml><?xml version="1.0" encoding="utf-8"?>
<sst xmlns="http://schemas.openxmlformats.org/spreadsheetml/2006/main" count="13" uniqueCount="13">
  <si>
    <t>Growth Rate</t>
  </si>
  <si>
    <t>Cost Ratio</t>
  </si>
  <si>
    <t>Tax Rate</t>
  </si>
  <si>
    <t>Discount Rate</t>
  </si>
  <si>
    <t>Year</t>
  </si>
  <si>
    <t>Revenue</t>
  </si>
  <si>
    <t>Expenses</t>
  </si>
  <si>
    <t>Net Profit</t>
  </si>
  <si>
    <t>KPI</t>
  </si>
  <si>
    <t>Value</t>
  </si>
  <si>
    <t>Total Revenue</t>
  </si>
  <si>
    <t>Total Expenses</t>
  </si>
  <si>
    <t>Total 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</si>
</sst>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166E098D-C57F-4D7E-8C4A-CBAD5E9F1C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E9A74-7A82-40BB-B807-688633AD17B2}">
  <dimension ref="A1:B4"/>
  <sheetViews>
    <sheetView workbookViewId="0">
      <selection activeCell="G8" sqref="G8"/>
    </sheetView>
  </sheetViews>
  <sheetFormatPr defaultRowHeight="14.4" x14ac:dyDescent="0.3"/>
  <cols>
    <col min="1" max="1" width="12.6640625" bestFit="1" customWidth="1"/>
  </cols>
  <sheetData>
    <row r="1" spans="1:2" x14ac:dyDescent="0.3">
      <c r="A1" s="1" t="s">
        <v>0</v>
      </c>
      <c r="B1" s="1">
        <v>0.03</v>
      </c>
    </row>
    <row r="2" spans="1:2" x14ac:dyDescent="0.3">
      <c r="A2" s="1" t="s">
        <v>1</v>
      </c>
      <c r="B2" s="1">
        <v>0.6</v>
      </c>
    </row>
    <row r="3" spans="1:2" x14ac:dyDescent="0.3">
      <c r="A3" s="1" t="s">
        <v>2</v>
      </c>
      <c r="B3" s="1">
        <v>0.25</v>
      </c>
    </row>
    <row r="4" spans="1:2" x14ac:dyDescent="0.3">
      <c r="A4" s="1" t="s">
        <v>3</v>
      </c>
      <c r="B4" s="1">
        <v>0.05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E9166-012F-4BAE-825E-75CADFBD69E9}">
  <dimension ref="A1:D6"/>
  <sheetViews>
    <sheetView workbookViewId="0">
      <selection activeCell="G22" sqref="G22"/>
    </sheetView>
  </sheetViews>
  <sheetFormatPr defaultRowHeight="14.4" x14ac:dyDescent="0.3"/>
  <sheetData>
    <row r="1" spans="1:4" x14ac:dyDescent="0.3">
      <c r="A1" t="s">
        <v>4</v>
      </c>
      <c r="B1" t="s">
        <v>5</v>
      </c>
      <c r="C1" t="s">
        <v>6</v>
      </c>
      <c r="D1" t="s">
        <v>7</v>
      </c>
    </row>
    <row r="2" spans="1:4" x14ac:dyDescent="0.3">
      <c r="A2">
        <v>2022</v>
      </c>
      <c r="B2">
        <f>500000*(1+Assumptions!B1)</f>
        <v>515000</v>
      </c>
      <c r="C2">
        <f>B2*Assumptions!B2</f>
        <v>309000</v>
      </c>
      <c r="D2">
        <f>(B2-C2)*(1-Assumptions!B3)</f>
        <v>154500</v>
      </c>
    </row>
    <row r="3" spans="1:4" x14ac:dyDescent="0.3">
      <c r="A3">
        <v>2023</v>
      </c>
      <c r="B3">
        <f>B2*(1+Assumptions!B1)</f>
        <v>530450</v>
      </c>
      <c r="C3">
        <f>B3*Assumptions!B2</f>
        <v>318270</v>
      </c>
      <c r="D3">
        <f>(B3-C3)*(1-Assumptions!B3)</f>
        <v>159135</v>
      </c>
    </row>
    <row r="4" spans="1:4" x14ac:dyDescent="0.3">
      <c r="A4">
        <v>2024</v>
      </c>
      <c r="B4">
        <f>B3*(1+Assumptions!B1)</f>
        <v>546363.5</v>
      </c>
      <c r="C4">
        <f>B4*Assumptions!B2</f>
        <v>327818.09999999998</v>
      </c>
      <c r="D4">
        <f>(B4-C4)*(1-Assumptions!B3)</f>
        <v>163909.05000000002</v>
      </c>
    </row>
    <row r="5" spans="1:4" x14ac:dyDescent="0.3">
      <c r="A5">
        <v>2025</v>
      </c>
      <c r="B5">
        <f>B4*(1+Assumptions!B1)</f>
        <v>562754.40500000003</v>
      </c>
      <c r="C5">
        <f>B5*Assumptions!B2</f>
        <v>337652.64299999998</v>
      </c>
      <c r="D5">
        <f>(B5-C5)*(1-Assumptions!B3)</f>
        <v>168826.32150000002</v>
      </c>
    </row>
    <row r="6" spans="1:4" x14ac:dyDescent="0.3">
      <c r="A6">
        <v>2026</v>
      </c>
      <c r="B6">
        <f>B5*(1+Assumptions!B1)</f>
        <v>579637.03714999999</v>
      </c>
      <c r="C6">
        <f>B6*Assumptions!B2</f>
        <v>347782.22229000001</v>
      </c>
      <c r="D6">
        <f>(B6-C6)*(1-Assumptions!B3)</f>
        <v>173891.11114499997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6EDAC-F521-496E-A0C5-E50391D26FF4}">
  <dimension ref="A1:B4"/>
  <sheetViews>
    <sheetView tabSelected="1" workbookViewId="0">
      <selection activeCell="H3" sqref="H3"/>
    </sheetView>
  </sheetViews>
  <sheetFormatPr defaultRowHeight="14.4" x14ac:dyDescent="0.3"/>
  <cols>
    <col min="1" max="1" width="12.77734375" bestFit="1" customWidth="1"/>
  </cols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f>SUM(Projections!B2:B6)</f>
        <v>2734204.9421500005</v>
      </c>
    </row>
    <row r="3" spans="1:2" x14ac:dyDescent="0.3">
      <c r="A3" t="s">
        <v>11</v>
      </c>
      <c r="B3">
        <f>SUM(Projections!C2:C6)</f>
        <v>1640522.96529</v>
      </c>
    </row>
    <row r="4" spans="1:2" x14ac:dyDescent="0.3">
      <c r="A4" t="s">
        <v>12</v>
      </c>
      <c r="B4">
        <f>SUM(Projections!D2:D6)</f>
        <v>820261.4826450001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Projections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Harson James Henso</dc:creator>
  <cp:lastModifiedBy>Alex Harson James Henso</cp:lastModifiedBy>
  <dcterms:created xsi:type="dcterms:W3CDTF">2026-04-06T17:02:32Z</dcterms:created>
  <dcterms:modified xsi:type="dcterms:W3CDTF">2026-04-06T17:16:49Z</dcterms:modified>
</cp:coreProperties>
</file>